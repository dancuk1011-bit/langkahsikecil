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096539730c43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458882aedae4544"/>
    <x:sheet xmlns:r="http://schemas.openxmlformats.org/officeDocument/2006/relationships" name="Source_Registry" sheetId="2" r:id="R73f16e08121a4d6f"/>
    <x:sheet xmlns:r="http://schemas.openxmlformats.org/officeDocument/2006/relationships" name="Skills_0_3" sheetId="3" r:id="R116bdbd59d5b42a8"/>
    <x:sheet xmlns:r="http://schemas.openxmlformats.org/officeDocument/2006/relationships" name="Activities_0_3" sheetId="4" r:id="R5f4f9fa3deb845e9"/>
    <x:sheet xmlns:r="http://schemas.openxmlformats.org/officeDocument/2006/relationships" name="Activity_Skill_Map" sheetId="5" r:id="R7dd96c977aee42ef"/>
    <x:sheet xmlns:r="http://schemas.openxmlformats.org/officeDocument/2006/relationships" name="Risk_Rules_0_3" sheetId="6" r:id="R81ef007b63854dc1"/>
    <x:sheet xmlns:r="http://schemas.openxmlformats.org/officeDocument/2006/relationships" name="Coverage_Audit" sheetId="7" r:id="R5d986656c4bc4758"/>
    <x:sheet xmlns:r="http://schemas.openxmlformats.org/officeDocument/2006/relationships" name="QA_Checklist" sheetId="8" r:id="Rab0409407c9c4bf6"/>
    <x:sheet xmlns:r="http://schemas.openxmlformats.org/officeDocument/2006/relationships" name="Data_Dictionary" sheetId="9" r:id="R9c4c592cf6334784"/>
    <x:sheet xmlns:r="http://schemas.openxmlformats.org/officeDocument/2006/relationships" name="Skills_4_6" sheetId="10" r:id="R2ac3b10aab694a08"/>
    <x:sheet xmlns:r="http://schemas.openxmlformats.org/officeDocument/2006/relationships" name="Activities_4_6" sheetId="11" r:id="Re5e08adb057e4eaf"/>
    <x:sheet xmlns:r="http://schemas.openxmlformats.org/officeDocument/2006/relationships" name="Skills_7_9" sheetId="12" r:id="R2656acf250584d4f"/>
    <x:sheet xmlns:r="http://schemas.openxmlformats.org/officeDocument/2006/relationships" name="Activities_7_9" sheetId="13" r:id="Rcce832c873ac421e"/>
    <x:sheet xmlns:r="http://schemas.openxmlformats.org/officeDocument/2006/relationships" name="Skills_10_12" sheetId="14" r:id="R77be6bbd5b4b45be"/>
    <x:sheet xmlns:r="http://schemas.openxmlformats.org/officeDocument/2006/relationships" name="Activities_10_12" sheetId="15" r:id="R0e88b0c6cd8b47cb"/>
    <x:sheet xmlns:r="http://schemas.openxmlformats.org/officeDocument/2006/relationships" name="Risk_Rules_0_12" sheetId="16" r:id="Rbe9dec1edd824f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64E63"/>
      <x:name val="Carlito"/>
    </x:font>
    <x:font>
      <x:sz val="11"/>
      <x:color rgb="FF134E4A"/>
      <x:name val="Carlito"/>
    </x:font>
    <x:font>
      <x:b/>
      <x:sz val="11"/>
      <x:color rgb="FFFFFFF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CFFAFE"/>
      </x:patternFill>
    </x:fill>
    <x:fill>
      <x:patternFill patternType="solid">
        <x:fgColor rgb="FFF0FDFA"/>
      </x:patternFill>
    </x:fill>
    <x:fill>
      <x:patternFill patternType="solid">
        <x:fgColor rgb="FF155E75"/>
      </x:patternFill>
    </x:fill>
    <x:fill>
      <x:patternFill patternType="solid">
        <x:fgColor rgb="FF155E75"/>
      </x:patternFill>
    </x:fill>
    <x:fill>
      <x:patternFill patternType="solid">
        <x:fgColor rgb="FFCFFAFE"/>
      </x:patternFill>
    </x:fill>
    <x:fill>
      <x:patternFill patternType="solid">
        <x:fgColor rgb="FFF0FDFA"/>
      </x:patternFill>
    </x:fill>
    <x:fill>
      <x:patternFill patternType="solid">
        <x:fgColor rgb="FF155E75"/>
      </x:patternFill>
    </x:fill>
    <x:fill>
      <x:patternFill patternType="solid">
        <x:fgColor rgb="FFCFFAFE"/>
      </x:patternFill>
    </x:fill>
    <x:fill>
      <x:patternFill patternType="solid">
        <x:fgColor rgb="FFF0FDFA"/>
      </x:patternFill>
    </x:fill>
  </x:fills>
  <x:borders count="2">
    <x:border/>
    <x:border/>
  </x:borders>
  <x:cellStyleXfs count="1">
    <x:xf numFmtId="0" fontId="0" fillId="0" borderId="0"/>
  </x:cellStyleXfs>
  <x:cellXfs count="5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wrapText="1"/>
    </x:xf>
    <x:xf numFmtId="0" fontId="4" fillId="9" borderId="0" xfId="0" applyNumberFormat="1" applyFont="1" applyFill="1" applyBorder="1" applyAlignment="1">
      <x:alignment horizontal="center" wrapText="1"/>
    </x:xf>
    <x:xf numFmtId="0" fontId="4" fillId="9" borderId="0" xfId="0" applyNumberFormat="1" applyFont="1" applyFill="1" applyBorder="1" applyAlignment="1">
      <x:alignment horizontal="center" vertical="center" wrapText="1"/>
    </x:xf>
    <x:xf numFmtId="0" fontId="2" fillId="1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3" fillId="11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</x:cellXfs>
  <x:cellStyles count="1">
    <x:cellStyle name="Normal" xfId="0"/>
  </x:cellStyles>
  <x:dxfs count="14"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9f15a9a86c4b73" /><Relationship Type="http://schemas.openxmlformats.org/officeDocument/2006/relationships/theme" Target="/xl/theme/theme1.xml" Id="R6bcb4d9810f545b0" /><Relationship Type="http://schemas.openxmlformats.org/officeDocument/2006/relationships/sharedStrings" Target="/xl/sharedStrings.xml" Id="R4a83f895655d4ab3" /><Relationship Type="http://schemas.openxmlformats.org/officeDocument/2006/relationships/worksheet" Target="/xl/worksheets/sheet1.xml" Id="R6458882aedae4544" /><Relationship Type="http://schemas.openxmlformats.org/officeDocument/2006/relationships/worksheet" Target="/xl/worksheets/sheet2.xml" Id="R73f16e08121a4d6f" /><Relationship Type="http://schemas.openxmlformats.org/officeDocument/2006/relationships/worksheet" Target="/xl/worksheets/sheet3.xml" Id="R116bdbd59d5b42a8" /><Relationship Type="http://schemas.openxmlformats.org/officeDocument/2006/relationships/worksheet" Target="/xl/worksheets/sheet4.xml" Id="R5f4f9fa3deb845e9" /><Relationship Type="http://schemas.openxmlformats.org/officeDocument/2006/relationships/worksheet" Target="/xl/worksheets/sheet5.xml" Id="R7dd96c977aee42ef" /><Relationship Type="http://schemas.openxmlformats.org/officeDocument/2006/relationships/worksheet" Target="/xl/worksheets/sheet6.xml" Id="R81ef007b63854dc1" /><Relationship Type="http://schemas.openxmlformats.org/officeDocument/2006/relationships/worksheet" Target="/xl/worksheets/sheet7.xml" Id="R5d986656c4bc4758" /><Relationship Type="http://schemas.openxmlformats.org/officeDocument/2006/relationships/worksheet" Target="/xl/worksheets/sheet8.xml" Id="Rab0409407c9c4bf6" /><Relationship Type="http://schemas.openxmlformats.org/officeDocument/2006/relationships/worksheet" Target="/xl/worksheets/sheet9.xml" Id="R9c4c592cf6334784" /><Relationship Type="http://schemas.openxmlformats.org/officeDocument/2006/relationships/worksheet" Target="/xl/worksheets/sheet10.xml" Id="R2ac3b10aab694a08" /><Relationship Type="http://schemas.openxmlformats.org/officeDocument/2006/relationships/worksheet" Target="/xl/worksheets/sheet11.xml" Id="Re5e08adb057e4eaf" /><Relationship Type="http://schemas.openxmlformats.org/officeDocument/2006/relationships/worksheet" Target="/xl/worksheets/sheet12.xml" Id="R2656acf250584d4f" /><Relationship Type="http://schemas.openxmlformats.org/officeDocument/2006/relationships/worksheet" Target="/xl/worksheets/sheet13.xml" Id="Rcce832c873ac421e" /><Relationship Type="http://schemas.openxmlformats.org/officeDocument/2006/relationships/worksheet" Target="/xl/worksheets/sheet14.xml" Id="R77be6bbd5b4b45be" /><Relationship Type="http://schemas.openxmlformats.org/officeDocument/2006/relationships/worksheet" Target="/xl/worksheets/sheet15.xml" Id="R0e88b0c6cd8b47cb" /><Relationship Type="http://schemas.openxmlformats.org/officeDocument/2006/relationships/worksheet" Target="/xl/worksheets/sheet16.xml" Id="Rbe9dec1edd824f8c" /></Relationships>
</file>

<file path=xl/tables/table1.xml><?xml version="1.0" encoding="utf-8"?>
<x:table xmlns:x="http://schemas.openxmlformats.org/spreadsheetml/2006/main" id="1" name="SourceRegistryTable" displayName="SourceRegistryTable" ref="A1:H21" headerRowCount="1" totalsRowCount="0" totalsRowShown="0">
  <x:tableColumns count="8">
    <x:tableColumn id="1" name="source_id"/>
    <x:tableColumn id="2" name="organization"/>
    <x:tableColumn id="3" name="title"/>
    <x:tableColumn id="4" name="year"/>
    <x:tableColumn id="5" name="source_type"/>
    <x:tableColumn id="6" name="url"/>
    <x:tableColumn id="7" name="evidence_note"/>
    <x:tableColumn id="8" name="ti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kills03Table" displayName="Skills03Table" ref="A1:J16" headerRowCount="1" totalsRowCount="0" totalsRowShown="0">
  <x:tableColumns count="10">
    <x:tableColumn id="1" name="skill_id"/>
    <x:tableColumn id="2" name="label"/>
    <x:tableColumn id="3" name="domain"/>
    <x:tableColumn id="4" name="min_age_days"/>
    <x:tableColumn id="5" name="max_age_days"/>
    <x:tableColumn id="6" name="observation_type"/>
    <x:tableColumn id="7" name="description"/>
    <x:tableColumn id="8" name="source_refs"/>
    <x:tableColumn id="9" name="guardrail_note"/>
    <x:tableColumn id="10" name="review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ctivities03Table" displayName="Activities03Table" ref="A1:AA33" headerRowCount="1" totalsRowCount="0" totalsRowShown="0">
  <x:tableColumns count="27">
    <x:tableColumn id="1" name="activity_id"/>
    <x:tableColumn id="2" name="title"/>
    <x:tableColumn id="3" name="age_label"/>
    <x:tableColumn id="4" name="min_age_days"/>
    <x:tableColumn id="5" name="max_age_days"/>
    <x:tableColumn id="6" name="min_age_month"/>
    <x:tableColumn id="7" name="max_age_month"/>
    <x:tableColumn id="8" name="primary_domain"/>
    <x:tableColumn id="9" name="secondary_domains"/>
    <x:tableColumn id="10" name="activity_type"/>
    <x:tableColumn id="11" name="duration_minutes"/>
    <x:tableColumn id="12" name="materials"/>
    <x:tableColumn id="13" name="benefit_short"/>
    <x:tableColumn id="14" name="benefit_detail"/>
    <x:tableColumn id="15" name="instructions"/>
    <x:tableColumn id="16" name="observe_items"/>
    <x:tableColumn id="17" name="easy_variation"/>
    <x:tableColumn id="18" name="alternate_variation"/>
    <x:tableColumn id="19" name="safety_notes"/>
    <x:tableColumn id="20" name="stop_conditions"/>
    <x:tableColumn id="21" name="prematurity_notes"/>
    <x:tableColumn id="22" name="source_refs"/>
    <x:tableColumn id="23" name="evidence_note"/>
    <x:tableColumn id="24" name="review_status"/>
    <x:tableColumn id="25" name="reviewer"/>
    <x:tableColumn id="26" name="last_reviewed_at"/>
    <x:tableColumn id="27" name="content_vers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ctivitySkillMapTable" displayName="ActivitySkillMapTable" ref="A1:C245" headerRowCount="1" totalsRowCount="0" totalsRowShown="0">
  <x:tableColumns count="3">
    <x:tableColumn id="1" name="activity_id"/>
    <x:tableColumn id="2" name="skill_id"/>
    <x:tableColumn id="3" name="rela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iskRules03Table" displayName="RiskRules03Table" ref="A1:I6" headerRowCount="1" totalsRowCount="0" totalsRowShown="0">
  <x:tableColumns count="9">
    <x:tableColumn id="1" name="rule_id"/>
    <x:tableColumn id="2" name="rule_name"/>
    <x:tableColumn id="3" name="trigger"/>
    <x:tableColumn id="4" name="user_status"/>
    <x:tableColumn id="5" name="user_message"/>
    <x:tableColumn id="6" name="recommended_action"/>
    <x:tableColumn id="7" name="source_refs"/>
    <x:tableColumn id="8" name="guardrail"/>
    <x:tableColumn id="9" name="review_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QAChecklistTable" displayName="QAChecklistTable" ref="A1:D32" headerRowCount="1" totalsRowCount="0" totalsRowShown="0">
  <x:tableColumns count="4">
    <x:tableColumn id="1" name="area"/>
    <x:tableColumn id="2" name="check"/>
    <x:tableColumn id="3" name="status"/>
    <x:tableColumn id="4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kills46Table" displayName="Skills46Table" ref="A1:J25" headerRowCount="1" totalsRowCount="0" totalsRowShown="0">
  <x:tableColumns count="10">
    <x:tableColumn id="1" name="skill_id"/>
    <x:tableColumn id="2" name="label"/>
    <x:tableColumn id="3" name="domain"/>
    <x:tableColumn id="4" name="min_age_days"/>
    <x:tableColumn id="5" name="max_age_days"/>
    <x:tableColumn id="6" name="observation_type"/>
    <x:tableColumn id="7" name="description"/>
    <x:tableColumn id="8" name="source_refs"/>
    <x:tableColumn id="9" name="guardrail_note"/>
    <x:tableColumn id="10" name="review_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Activities46Table" displayName="Activities46Table" ref="A1:AA31" headerRowCount="1" totalsRowCount="0" totalsRowShown="0">
  <x:tableColumns count="27">
    <x:tableColumn id="1" name="activity_id"/>
    <x:tableColumn id="2" name="title"/>
    <x:tableColumn id="3" name="age_label"/>
    <x:tableColumn id="4" name="min_age_days"/>
    <x:tableColumn id="5" name="max_age_days"/>
    <x:tableColumn id="6" name="min_age_month"/>
    <x:tableColumn id="7" name="max_age_month"/>
    <x:tableColumn id="8" name="primary_domain"/>
    <x:tableColumn id="9" name="secondary_domains"/>
    <x:tableColumn id="10" name="activity_type"/>
    <x:tableColumn id="11" name="duration_minutes"/>
    <x:tableColumn id="12" name="materials"/>
    <x:tableColumn id="13" name="benefit_short"/>
    <x:tableColumn id="14" name="benefit_detail"/>
    <x:tableColumn id="15" name="instructions"/>
    <x:tableColumn id="16" name="observe_items"/>
    <x:tableColumn id="17" name="easy_variation"/>
    <x:tableColumn id="18" name="alternate_variation"/>
    <x:tableColumn id="19" name="safety_notes"/>
    <x:tableColumn id="20" name="stop_conditions"/>
    <x:tableColumn id="21" name="prematurity_notes"/>
    <x:tableColumn id="22" name="source_refs"/>
    <x:tableColumn id="23" name="evidence_note"/>
    <x:tableColumn id="24" name="review_status"/>
    <x:tableColumn id="25" name="reviewer"/>
    <x:tableColumn id="26" name="last_reviewed_at"/>
    <x:tableColumn id="27" name="content_versi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kills79Table" displayName="Skills79Table" ref="A1:J25" headerRowCount="1" totalsRowCount="0" totalsRowShown="0">
  <x:tableColumns count="10">
    <x:tableColumn id="1" name="skill_id"/>
    <x:tableColumn id="2" name="label"/>
    <x:tableColumn id="3" name="domain"/>
    <x:tableColumn id="4" name="min_age_days"/>
    <x:tableColumn id="5" name="max_age_days"/>
    <x:tableColumn id="6" name="observation_type"/>
    <x:tableColumn id="7" name="description"/>
    <x:tableColumn id="8" name="source_refs"/>
    <x:tableColumn id="9" name="guardrail_note"/>
    <x:tableColumn id="10" name="review_statu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Activities79Table" displayName="Activities79Table" ref="A1:AA31" headerRowCount="1" totalsRowCount="0" totalsRowShown="0">
  <x:tableColumns count="27">
    <x:tableColumn id="1" name="activity_id"/>
    <x:tableColumn id="2" name="title"/>
    <x:tableColumn id="3" name="age_label"/>
    <x:tableColumn id="4" name="min_age_days"/>
    <x:tableColumn id="5" name="max_age_days"/>
    <x:tableColumn id="6" name="min_age_month"/>
    <x:tableColumn id="7" name="max_age_month"/>
    <x:tableColumn id="8" name="primary_domain"/>
    <x:tableColumn id="9" name="secondary_domains"/>
    <x:tableColumn id="10" name="activity_type"/>
    <x:tableColumn id="11" name="duration_minutes"/>
    <x:tableColumn id="12" name="materials"/>
    <x:tableColumn id="13" name="benefit_short"/>
    <x:tableColumn id="14" name="benefit_detail"/>
    <x:tableColumn id="15" name="instructions"/>
    <x:tableColumn id="16" name="observe_items"/>
    <x:tableColumn id="17" name="easy_variation"/>
    <x:tableColumn id="18" name="alternate_variation"/>
    <x:tableColumn id="19" name="safety_notes"/>
    <x:tableColumn id="20" name="stop_conditions"/>
    <x:tableColumn id="21" name="prematurity_notes"/>
    <x:tableColumn id="22" name="source_refs"/>
    <x:tableColumn id="23" name="evidence_note"/>
    <x:tableColumn id="24" name="review_status"/>
    <x:tableColumn id="25" name="reviewer"/>
    <x:tableColumn id="26" name="last_reviewed_at"/>
    <x:tableColumn id="27" name="content_version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Skills1012Table" displayName="Skills1012Table" ref="A1:J28" headerRowCount="1" totalsRowCount="0" totalsRowShown="0">
  <x:tableColumns count="10">
    <x:tableColumn id="1" name="skill_id"/>
    <x:tableColumn id="2" name="label"/>
    <x:tableColumn id="3" name="domain"/>
    <x:tableColumn id="4" name="min_age_days"/>
    <x:tableColumn id="5" name="max_age_days"/>
    <x:tableColumn id="6" name="observation_type"/>
    <x:tableColumn id="7" name="description"/>
    <x:tableColumn id="8" name="source_refs"/>
    <x:tableColumn id="9" name="guardrail_note"/>
    <x:tableColumn id="10" name="review_statu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Activities1012Table" displayName="Activities1012Table" ref="A1:AA31" headerRowCount="1" totalsRowCount="0" totalsRowShown="0">
  <x:tableColumns count="27">
    <x:tableColumn id="1" name="activity_id"/>
    <x:tableColumn id="2" name="title"/>
    <x:tableColumn id="3" name="age_label"/>
    <x:tableColumn id="4" name="min_age_days"/>
    <x:tableColumn id="5" name="max_age_days"/>
    <x:tableColumn id="6" name="min_age_month"/>
    <x:tableColumn id="7" name="max_age_month"/>
    <x:tableColumn id="8" name="primary_domain"/>
    <x:tableColumn id="9" name="secondary_domains"/>
    <x:tableColumn id="10" name="activity_type"/>
    <x:tableColumn id="11" name="duration_minutes"/>
    <x:tableColumn id="12" name="materials"/>
    <x:tableColumn id="13" name="benefit_short"/>
    <x:tableColumn id="14" name="benefit_detail"/>
    <x:tableColumn id="15" name="instructions"/>
    <x:tableColumn id="16" name="observe_items"/>
    <x:tableColumn id="17" name="easy_variation"/>
    <x:tableColumn id="18" name="alternate_variation"/>
    <x:tableColumn id="19" name="safety_notes"/>
    <x:tableColumn id="20" name="stop_conditions"/>
    <x:tableColumn id="21" name="prematurity_notes"/>
    <x:tableColumn id="22" name="source_refs"/>
    <x:tableColumn id="23" name="evidence_note"/>
    <x:tableColumn id="24" name="review_status"/>
    <x:tableColumn id="25" name="reviewer"/>
    <x:tableColumn id="26" name="last_reviewed_at"/>
    <x:tableColumn id="27" name="content_version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RiskRules012Table" displayName="RiskRules012Table" ref="A1:K6" headerRowCount="1" totalsRowCount="0" totalsRowShown="0">
  <x:tableColumns count="11">
    <x:tableColumn id="1" name="rule_id"/>
    <x:tableColumn id="2" name="rule_name"/>
    <x:tableColumn id="3" name="min_age_days"/>
    <x:tableColumn id="4" name="max_age_days"/>
    <x:tableColumn id="5" name="trigger"/>
    <x:tableColumn id="6" name="user_status"/>
    <x:tableColumn id="7" name="user_message"/>
    <x:tableColumn id="8" name="recommended_action"/>
    <x:tableColumn id="9" name="source_refs"/>
    <x:tableColumn id="10" name="guardrail"/>
    <x:tableColumn id="11" name="review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06931e27c204bf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713bda01bb2417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7149a4c6e504ce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67618a18d994b5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adce206c7b6480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6384bf829d58466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4709e9d9da9546d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32972941753c4c8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0c5f68b456f5407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16bf1f1b4254ea0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1d929896df454c39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2.xml" Id="R93040344f1084307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3.xml" Id="Re29e6610c8404608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0" hidden="0" customWidth="1"/>
  </x:cols>
  <x:sheetData>
    <x:row r="1">
      <x:c r="A1" s="4" t="str">
        <x:v>Langkah Si Kecil 2.2 — MASTER DATASET MVP 0–12 BULAN</x:v>
      </x:c>
      <x:c r="B1" s="4"/>
      <x:c r="C1" s="4"/>
      <x:c r="D1" s="4"/>
      <x:c r="E1" s="4"/>
      <x:c r="F1" s="4"/>
      <x:c r="G1" s="4"/>
      <x:c r="H1" s="4"/>
    </x:row>
    <x:row r="3">
      <x:c r="A3" s="11" t="str">
        <x:v>Status</x:v>
      </x:c>
      <x:c r="B3" s="19" t="str">
        <x:v>SOURCE-CHECKED — belum final clinical approval.</x:v>
      </x:c>
    </x:row>
    <x:row r="4">
      <x:c r="A4" s="11" t="str">
        <x:v>Tujuan</x:v>
      </x:c>
      <x:c r="B4" s="19" t="str">
        <x:v>Fondasi content engine 0–3 bulan: source registry, observasi, aktivitas, mapping, safety, coverage, risk rules.</x:v>
      </x:c>
    </x:row>
    <x:row r="5">
      <x:c r="A5" s="11" t="str">
        <x:v>Prinsip</x:v>
      </x:c>
      <x:c r="B5" s="19" t="str">
        <x:v>Aktivitas = kesempatan bermain/interaksi, bukan tes perkembangan. Observasi keluarga ≠ diagnosis/screening tervalidasi.</x:v>
      </x:c>
    </x:row>
    <x:row r="6">
      <x:c r="A6" s="11" t="str">
        <x:v>Production rule</x:v>
      </x:c>
      <x:c r="B6" s="19" t="str">
        <x:v>Hanya record review_status=approved yang boleh dipakai recommendation/risk engine production.</x:v>
      </x:c>
    </x:row>
    <x:row r="7">
      <x:c r="A7" s="11" t="str">
        <x:v>Age mapping</x:v>
      </x:c>
      <x:c r="B7" s="19" t="str">
        <x:v>0 bulan=0–30 hari; 1=31–60; 2=61–90; 3=91–120. Ini mapping internal konten, bukan batas milestone klinis.</x:v>
      </x:c>
    </x:row>
    <x:row r="8">
      <x:c r="A8" s="11" t="str">
        <x:v>Scope MVP</x:v>
      </x:c>
      <x:c r="B8" s="19" t="str">
        <x:v>MVP difokuskan usia 0–12 bulan. Arsitektur age mapping tetap extensible untuk ekspansi setelah validasi produk.</x:v>
      </x:c>
    </x:row>
    <x:row r="9">
      <x:c r="A9" s="11" t="str">
        <x:v>Batch berikut</x:v>
      </x:c>
      <x:c r="B9" s="19" t="str">
        <x:v>Batch berikut setelah audit ini: 7–9 bulan → 10–12 bulan → finalisasi master JSON.</x:v>
      </x:c>
    </x:row>
    <x:row r="10">
      <x:c r="A10" s="53" t="str">
        <x:v>Aktivitas 0–3</x:v>
      </x:c>
      <x:c r="B10" s="56" t="str">
        <x:v>32 aktivitas</x:v>
      </x:c>
    </x:row>
    <x:row r="11">
      <x:c r="A11" s="53" t="str">
        <x:v>Aktivitas 4–6</x:v>
      </x:c>
      <x:c r="B11" s="56" t="str">
        <x:v>30 aktivitas</x:v>
      </x:c>
    </x:row>
    <x:row r="12">
      <x:c r="A12" s="53" t="str">
        <x:v>Aktivitas 7–9</x:v>
      </x:c>
      <x:c r="B12" s="56" t="str">
        <x:v>30 aktivitas</x:v>
      </x:c>
    </x:row>
    <x:row r="13">
      <x:c r="A13" s="53" t="str">
        <x:v>Aktivitas 10–12</x:v>
      </x:c>
      <x:c r="B13" s="56" t="str">
        <x:v>30 aktivitas</x:v>
      </x:c>
    </x:row>
    <x:row r="14">
      <x:c r="A14" s="53" t="str">
        <x:v>Total Aktivitas</x:v>
      </x:c>
      <x:c r="B14" s="56" t="str">
        <x:v>122 aktivitas</x:v>
      </x:c>
    </x:row>
    <x:row r="15">
      <x:c r="A15" s="53" t="str">
        <x:v>Total Skill/Observation</x:v>
      </x:c>
      <x:c r="B15" s="56" t="str">
        <x:v>90 record</x:v>
      </x:c>
    </x:row>
    <x:row r="16">
      <x:c r="A16" s="53" t="str">
        <x:v>Coverage</x:v>
      </x:c>
      <x:c r="B16" s="56" t="str">
        <x:v>0–12 bulan: minimum 2 aktivitas primer/domain/bulan</x:v>
      </x:c>
    </x:row>
    <x:row r="17">
      <x:c r="A17" s="53" t="str">
        <x:v>Tahap berikut</x:v>
      </x:c>
      <x:c r="B17" s="56" t="str">
        <x:v>Clinical/content review → approved → export JSON production → recommendation engine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52" hidden="0" customWidth="1"/>
    <x:col min="4" max="4" width="18" hidden="0" customWidth="1"/>
    <x:col min="5" max="5" width="28" hidden="0" customWidth="1"/>
    <x:col min="6" max="6" width="70" hidden="0" customWidth="1"/>
    <x:col min="7" max="7" width="78" hidden="0" customWidth="1"/>
    <x:col min="8" max="8" width="9" hidden="0" customWidth="1"/>
  </x:cols>
  <x:sheetData>
    <x:row r="1">
      <x:c r="A1" s="28" t="str">
        <x:v>source_id</x:v>
      </x:c>
      <x:c r="B1" s="28" t="str">
        <x:v>organization</x:v>
      </x:c>
      <x:c r="C1" s="28" t="str">
        <x:v>title</x:v>
      </x:c>
      <x:c r="D1" s="28" t="str">
        <x:v>year</x:v>
      </x:c>
      <x:c r="E1" s="28" t="str">
        <x:v>source_type</x:v>
      </x:c>
      <x:c r="F1" s="28" t="str">
        <x:v>url</x:v>
      </x:c>
      <x:c r="G1" s="28" t="str">
        <x:v>evidence_note</x:v>
      </x:c>
      <x:c r="H1" s="28" t="str">
        <x:v>tier</x:v>
      </x:c>
    </x:row>
    <x:row r="2">
      <x:c r="A2" s="34" t="str">
        <x:v>SRC_WHO_ECD_2020</x:v>
      </x:c>
      <x:c r="B2" s="34" t="str">
        <x:v>World Health Organization</x:v>
      </x:c>
      <x:c r="C2" s="34" t="str">
        <x:v>Improving early childhood development: WHO guideline</x:v>
      </x:c>
      <x:c r="D2" s="34" t="str">
        <x:v>2020</x:v>
      </x:c>
      <x:c r="E2" s="34" t="str">
        <x:v>Guideline</x:v>
      </x:c>
      <x:c r="F2" s="34" t="str">
        <x:v>https://www.who.int/publications/i/item/97892400020986</x:v>
      </x:c>
      <x:c r="G2" s="34" t="str">
        <x:v>Responsive caregiving dan kesempatan early learning selama 3 tahun pertama.</x:v>
      </x:c>
      <x:c r="H2" s="34" t="str">
        <x:v>A</x:v>
      </x:c>
    </x:row>
    <x:row r="3">
      <x:c r="A3" s="34" t="str">
        <x:v>SRC_UNICEF_CCD</x:v>
      </x:c>
      <x:c r="B3" s="34" t="str">
        <x:v>UNICEF / WHO</x:v>
      </x:c>
      <x:c r="C3" s="34" t="str">
        <x:v>Care for Child Development (CCD)</x:v>
      </x:c>
      <x:c r="D3" s="34" t="str">
        <x:v>2012/current resource hub</x:v>
      </x:c>
      <x:c r="E3" s="34" t="str">
        <x:v>Evidence-based programme</x:v>
      </x:c>
      <x:c r="F3" s="34" t="str">
        <x:v>https://www.unicef.org/documents/care-child-development</x:v>
      </x:c>
      <x:c r="G3" s="34" t="str">
        <x:v>Play, communication, child cues, dan responsive caregiving.</x:v>
      </x:c>
      <x:c r="H3" s="34" t="str">
        <x:v>A</x:v>
      </x:c>
    </x:row>
    <x:row r="4">
      <x:c r="A4" s="34" t="str">
        <x:v>SRC_UNICEF_CCD_CARDS</x:v>
      </x:c>
      <x:c r="B4" s="34" t="str">
        <x:v>UNICEF / WHO</x:v>
      </x:c>
      <x:c r="C4" s="34" t="str">
        <x:v>Recommendations for Care for Child Development — Counselling Cards</x:v>
      </x:c>
      <x:c r="D4" s="34" t="str">
        <x:v>2018 edition</x:v>
      </x:c>
      <x:c r="E4" s="34" t="str">
        <x:v>Counselling guidance</x:v>
      </x:c>
      <x:c r="F4" s="34" t="str">
        <x:v>https://www.unicef.org/lac/en/media/8571/file/Counseling%20Cards%20-%20Long%20version.pdf</x:v>
      </x:c>
      <x:c r="G4" s="34" t="str">
        <x:v>Birth–1 week: touch/hold/see/hear/move freely + eye contact/talk. 1 week–6 months: see/hear/feel/move, track objects, smile/talk/copy sounds.</x:v>
      </x:c>
      <x:c r="H4" s="34" t="str">
        <x:v>A</x:v>
      </x:c>
    </x:row>
    <x:row r="5">
      <x:c r="A5" s="34" t="str">
        <x:v>SRC_CDC_2M_2026</x:v>
      </x:c>
      <x:c r="B5" s="34" t="str">
        <x:v>CDC</x:v>
      </x:c>
      <x:c r="C5" s="34" t="str">
        <x:v>Milestones by 2 Months</x:v>
      </x:c>
      <x:c r="D5" s="34" t="str">
        <x:v>2026</x:v>
      </x:c>
      <x:c r="E5" s="34" t="str">
        <x:v>Developmental monitoring resource</x:v>
      </x:c>
      <x:c r="F5" s="34" t="str">
        <x:v>https://www.cdc.gov/act-early/milestones/2-months.html</x:v>
      </x:c>
      <x:c r="G5" s="34" t="str">
        <x:v>Milestone/tips usia 2 bulan; bukan pengganti standardized screening.</x:v>
      </x:c>
      <x:c r="H5" s="34" t="str">
        <x:v>A</x:v>
      </x:c>
    </x:row>
    <x:row r="6">
      <x:c r="A6" s="34" t="str">
        <x:v>SRC_KIA_2024</x:v>
      </x:c>
      <x:c r="B6" s="34" t="str">
        <x:v>Kementerian Kesehatan RI</x:v>
      </x:c>
      <x:c r="C6" s="34" t="str">
        <x:v>Buku Kesehatan Ibu dan Anak (KIA) Edisi 2024</x:v>
      </x:c>
      <x:c r="D6" s="34" t="str">
        <x:v>2024</x:v>
      </x:c>
      <x:c r="E6" s="34" t="str">
        <x:v>National guideline / handbook</x:v>
      </x:c>
      <x:c r="F6" s="34" t="str">
        <x:v>https://s.kemkes.go.id/BukuKIA2024</x:v>
      </x:c>
      <x:c r="G6" s="34" t="str">
        <x:v>Pemantauan dan stimulasi sesuai usia dalam suasana aman, nyaman, menyenangkan.</x:v>
      </x:c>
      <x:c r="H6" s="34" t="str">
        <x:v>A</x:v>
      </x:c>
    </x:row>
    <x:row r="7">
      <x:c r="A7" s="34" t="str">
        <x:v>SRC_AAP_ACTIVITY_0_3</x:v>
      </x:c>
      <x:c r="B7" s="34" t="str">
        <x:v>American Academy of Pediatrics / HealthyChildren</x:v>
      </x:c>
      <x:c r="C7" s="34" t="str">
        <x:v>How Active is Your Baby? Tips to Get Infants Learning, Moving &amp; Thriving</x:v>
      </x:c>
      <x:c r="D7" s="34" t="str">
        <x:v>Current</x:v>
      </x:c>
      <x:c r="E7" s="34" t="str">
        <x:v>Parent guidance</x:v>
      </x:c>
      <x:c r="F7" s="34" t="str">
        <x:v>https://www.healthychildren.org/English/ages-stages/baby/Pages/How-Active-is-Your-Baby.aspx</x:v>
      </x:c>
      <x:c r="G7" s="34" t="str">
        <x:v>0–3 bulan: movement, warmth, voice, talking/singing, supervised tummy time, close face interaction.</x:v>
      </x:c>
      <x:c r="H7" s="34" t="str">
        <x:v>A</x:v>
      </x:c>
    </x:row>
    <x:row r="8">
      <x:c r="A8" s="34" t="str">
        <x:v>SRC_AAP_TUMMY</x:v>
      </x:c>
      <x:c r="B8" s="34" t="str">
        <x:v>American Academy of Pediatrics / HealthyChildren</x:v>
      </x:c>
      <x:c r="C8" s="34" t="str">
        <x:v>Back to Sleep, Tummy to Play</x:v>
      </x:c>
      <x:c r="D8" s="34" t="str">
        <x:v>Current</x:v>
      </x:c>
      <x:c r="E8" s="34" t="str">
        <x:v>Safety / parent guidance</x:v>
      </x:c>
      <x:c r="F8" s="34" t="str">
        <x:v>https://www.healthychildren.org/English/ages-stages/baby/sleep/Pages/Back-to-Sleep-Tummy-to-Play.aspx</x:v>
      </x:c>
      <x:c r="G8" s="34" t="str">
        <x:v>Tummy time hanya saat awake + supervised; tidur telentang; mulai singkat dan bertahap.</x:v>
      </x:c>
      <x:c r="H8" s="34" t="str">
        <x:v>A</x:v>
      </x:c>
    </x:row>
    <x:row r="9">
      <x:c r="A9" s="34" t="str">
        <x:v>SRC_AAP_MOVEMENT_0_3</x:v>
      </x:c>
      <x:c r="B9" s="34" t="str">
        <x:v>American Academy of Pediatrics / HealthyChildren</x:v>
      </x:c>
      <x:c r="C9" s="34" t="str">
        <x:v>Movement Milestones: Birth to 3 Months</x:v>
      </x:c>
      <x:c r="D9" s="34" t="str">
        <x:v>Current</x:v>
      </x:c>
      <x:c r="E9" s="34" t="str">
        <x:v>Parent guidance</x:v>
      </x:c>
      <x:c r="F9" s="34" t="str">
        <x:v>https://www.healthychildren.org/English/ages-stages/baby/pages/Movement-Birth-to-Three-Months.aspx</x:v>
      </x:c>
      <x:c r="G9" s="34" t="str">
        <x:v>Gaze to faces/voices, emerging head control, hand-to-mouth, voluntary movement.</x:v>
      </x:c>
      <x:c r="H9" s="34" t="str">
        <x:v>A</x:v>
      </x:c>
    </x:row>
    <x:row r="10">
      <x:c r="A10" s="34" t="str">
        <x:v>SRC_AAP_SURVEILLANCE</x:v>
      </x:c>
      <x:c r="B10" s="34" t="str">
        <x:v>American Academy of Pediatrics</x:v>
      </x:c>
      <x:c r="C10" s="34" t="str">
        <x:v>Developmental Surveillance and Screening Patient Care</x:v>
      </x:c>
      <x:c r="D10" s="34" t="str">
        <x:v>Current</x:v>
      </x:c>
      <x:c r="E10" s="34" t="str">
        <x:v>Clinical guidance</x:v>
      </x:c>
      <x:c r="F10" s="34" t="str">
        <x:v>https://www.aap.org/en/patient-care/developmental-surveillance-and-screening-patient-care/</x:v>
      </x:c>
      <x:c r="G10" s="34" t="str">
        <x:v>Surveillance mencakup concern orang tua, history, observation, risk/strength; surveillance bukan screening tervalidasi.</x:v>
      </x:c>
      <x:c r="H10" s="34" t="str">
        <x:v>A</x:v>
      </x:c>
    </x:row>
    <x:row r="11">
      <x:c r="A11" s="34" t="str">
        <x:v>SRC_PLOS_PARENTING_2021</x:v>
      </x:c>
      <x:c r="B11" s="34" t="str">
        <x:v>Jeong et al., PLOS Medicine</x:v>
      </x:c>
      <x:c r="C11" s="34" t="str">
        <x:v>Parenting interventions to promote early child development in the first three years of life</x:v>
      </x:c>
      <x:c r="D11" s="34" t="str">
        <x:v>2021</x:v>
      </x:c>
      <x:c r="E11" s="34" t="str">
        <x:v>Systematic review / meta-analysis</x:v>
      </x:c>
      <x:c r="F11" s="34" t="str">
        <x:v>https://journals.plos.org/plosmedicine/article?id=10.1371/journal.pmed.1003602</x:v>
      </x:c>
      <x:c r="G11" s="34" t="str">
        <x:v>Meta-analisis 102 RCT: parenting interventions memberi manfaat pada berbagai outcome ECD dan parenting; responsive caregiving penting.</x:v>
      </x:c>
      <x:c r="H11" s="34" t="str">
        <x:v>A</x:v>
      </x:c>
    </x:row>
    <x:row r="12">
      <x:c r="A12" t="str">
        <x:v>SRC_CDC_4M_2026</x:v>
      </x:c>
      <x:c r="B12" t="str">
        <x:v>CDC</x:v>
      </x:c>
      <x:c r="C12" t="str">
        <x:v>Milestones by 4 Months</x:v>
      </x:c>
      <x:c r="D12" t="str">
        <x:v>2026</x:v>
      </x:c>
      <x:c r="E12" t="str">
        <x:v>Developmental monitoring resource</x:v>
      </x:c>
      <x:c r="F12" t="str">
        <x:v>https://www.cdc.gov/act-early/milestones/4-months.html</x:v>
      </x:c>
      <x:c r="G12" t="str">
        <x:v>CDC 4-month milestones and caregiver activity tips; milestones represent skills most children (75%+) can do by that age and are not a substitute for validated screening.</x:v>
      </x:c>
      <x:c r="H12" t="str">
        <x:v>A</x:v>
      </x:c>
    </x:row>
    <x:row r="13">
      <x:c r="A13" t="str">
        <x:v>SRC_CDC_6M_2026</x:v>
      </x:c>
      <x:c r="B13" t="str">
        <x:v>CDC</x:v>
      </x:c>
      <x:c r="C13" t="str">
        <x:v>Milestones by 6 Months</x:v>
      </x:c>
      <x:c r="D13" t="str">
        <x:v>2026</x:v>
      </x:c>
      <x:c r="E13" t="str">
        <x:v>Developmental monitoring resource</x:v>
      </x:c>
      <x:c r="F13" t="str">
        <x:v>https://www.cdc.gov/act-early/milestones/6-months.html</x:v>
      </x:c>
      <x:c r="G13" t="str">
        <x:v>CDC 6-month milestones and caregiver activity tips including back-and-forth play, reaching, rolling, supported sitting, floor play, cause-and-effect and responsive communication.</x:v>
      </x:c>
      <x:c r="H13" t="str">
        <x:v>A</x:v>
      </x:c>
    </x:row>
    <x:row r="14">
      <x:c r="A14" t="str">
        <x:v>SRC_AAP_MOVEMENT_4_7</x:v>
      </x:c>
      <x:c r="B14" t="str">
        <x:v>American Academy of Pediatrics / HealthyChildren</x:v>
      </x:c>
      <x:c r="C14" t="str">
        <x:v>Movement Milestones: Babies 4 to 7 Months</x:v>
      </x:c>
      <x:c r="D14" t="str">
        <x:v>Current</x:v>
      </x:c>
      <x:c r="E14" t="str">
        <x:v>Parent guidance</x:v>
      </x:c>
      <x:c r="F14" t="str">
        <x:v>https://www.healthychildren.org/English/ages-stages/baby/Pages/Movement-4-to-7-Months.aspx</x:v>
      </x:c>
      <x:c r="G14" t="str">
        <x:v>Guidance on tummy play, pushing up, rolling, balance and supported sitting across roughly 4–7 months, with recognition that timing varies among babies.</x:v>
      </x:c>
      <x:c r="H14" t="str">
        <x:v>A</x:v>
      </x:c>
    </x:row>
    <x:row r="15">
      <x:c r="A15" t="str">
        <x:v>SRC_CDC_9M_2026</x:v>
      </x:c>
      <x:c r="B15" t="str">
        <x:v>CDC</x:v>
      </x:c>
      <x:c r="C15" t="str">
        <x:v>Milestones by 9 Months</x:v>
      </x:c>
      <x:c r="D15" t="str">
        <x:v>2026</x:v>
      </x:c>
      <x:c r="E15" t="str">
        <x:v>Developmental monitoring resource</x:v>
      </x:c>
      <x:c r="F15" t="str">
        <x:v>https://www.cdc.gov/act-early/milestones/9-months.html</x:v>
      </x:c>
      <x:c r="G15" t="str">
        <x:v>Milestones and caregiver tips for 9 months; milestones are skills most children (75%+) can do by that age and are not a substitute for validated screening.</x:v>
      </x:c>
      <x:c r="H15" t="str">
        <x:v>A</x:v>
      </x:c>
    </x:row>
    <x:row r="16">
      <x:c r="A16" t="str">
        <x:v>SRC_AAP_MOVEMENT_8_12</x:v>
      </x:c>
      <x:c r="B16" t="str">
        <x:v>American Academy of Pediatrics / HealthyChildren</x:v>
      </x:c>
      <x:c r="C16" t="str">
        <x:v>Movement Milestones in Babies 8 to 12 Months Old</x:v>
      </x:c>
      <x:c r="D16" t="str">
        <x:v>2021/current page</x:v>
      </x:c>
      <x:c r="E16" t="str">
        <x:v>Parent guidance</x:v>
      </x:c>
      <x:c r="F16" t="str">
        <x:v>https://www.healthychildren.org/English/ages-stages/baby/Pages/Movement-8-to-12-Months.aspx</x:v>
      </x:c>
      <x:c r="G16" t="str">
        <x:v>Sitting, reaching from sitting, rolling, crawling/scooting, pulling to stand, cruising, home safety, and avoidance of baby walkers.</x:v>
      </x:c>
      <x:c r="H16" t="str">
        <x:v>A</x:v>
      </x:c>
    </x:row>
    <x:row r="17">
      <x:c r="A17" t="str">
        <x:v>SRC_UNICEF_9M</x:v>
      </x:c>
      <x:c r="B17" t="str">
        <x:v>UNICEF Indonesia</x:v>
      </x:c>
      <x:c r="C17" t="str">
        <x:v>Your baby's developmental milestones at 9 months</x:v>
      </x:c>
      <x:c r="D17" t="str">
        <x:v>Current page</x:v>
      </x:c>
      <x:c r="E17" t="str">
        <x:v>Parent guidance</x:v>
      </x:c>
      <x:c r="F17" t="str">
        <x:v>https://www.unicef.org/indonesia/parenting-village/your-babys-developmental-milestones-9-months</x:v>
      </x:c>
      <x:c r="G17" t="str">
        <x:v>Social, communication, brain and movement development around 9 months; encourages following baby's signals during play and naming objects of interest.</x:v>
      </x:c>
      <x:c r="H17" t="str">
        <x:v>A</x:v>
      </x:c>
    </x:row>
    <x:row r="18">
      <x:c r="A18" t="str">
        <x:v>SRC_WHO_CCD_6_9</x:v>
      </x:c>
      <x:c r="B18" t="str">
        <x:v>WHO / UNICEF</x:v>
      </x:c>
      <x:c r="C18" t="str">
        <x:v>Care for Child Development Participant Manual — 6 months up to 9 months</x:v>
      </x:c>
      <x:c r="D18" t="str">
        <x:v>2012/current hosted copy</x:v>
      </x:c>
      <x:c r="E18" t="str">
        <x:v>Evidence-based programme/manual</x:v>
      </x:c>
      <x:c r="F18" t="str">
        <x:v>https://iris.who.int/bitstream/handle/10665/75149/9789241548403_eng_Participant_Manual.pdf?sequence=13</x:v>
      </x:c>
      <x:c r="G18" t="str">
        <x:v>Age-banded play and communication guidance for 6–9 months emphasizing safe objects, play, communication, imitation and responsive caregiving.</x:v>
      </x:c>
      <x:c r="H18" t="str">
        <x:v>A</x:v>
      </x:c>
    </x:row>
    <x:row r="19">
      <x:c r="A19" t="str">
        <x:v>SRC_CDC_1Y_2026</x:v>
      </x:c>
      <x:c r="B19" t="str">
        <x:v>CDC</x:v>
      </x:c>
      <x:c r="C19" t="str">
        <x:v>Milestones by 1 Year</x:v>
      </x:c>
      <x:c r="D19" t="str">
        <x:v>2026</x:v>
      </x:c>
      <x:c r="E19" t="str">
        <x:v>Developmental monitoring resource</x:v>
      </x:c>
      <x:c r="F19" t="str">
        <x:v>https://www.cdc.gov/act-early/milestones/1-year.html</x:v>
      </x:c>
      <x:c r="G19" t="str">
        <x:v>CDC 1-year milestones and activity tips. Milestones represent skills most children (75%+) can do by the age; materials are not a substitute for validated screening.</x:v>
      </x:c>
      <x:c r="H19" t="str">
        <x:v>A</x:v>
      </x:c>
    </x:row>
    <x:row r="20">
      <x:c r="A20" t="str">
        <x:v>SRC_AAP_DEV_12M</x:v>
      </x:c>
      <x:c r="B20" t="str">
        <x:v>American Academy of Pediatrics / HealthyChildren</x:v>
      </x:c>
      <x:c r="C20" t="str">
        <x:v>Developmental Milestones: 12 Months</x:v>
      </x:c>
      <x:c r="D20" t="str">
        <x:v>Current</x:v>
      </x:c>
      <x:c r="E20" t="str">
        <x:v>Parent guidance</x:v>
      </x:c>
      <x:c r="F20" t="str">
        <x:v>https://www.healthychildren.org/English/ages-stages/baby/Pages/Developmental-Milestones-12-Months.aspx</x:v>
      </x:c>
      <x:c r="G20" t="str">
        <x:v>12-month developmental milestones across movement, hand skills, language, cognitive, and social domains; individual timing varies.</x:v>
      </x:c>
      <x:c r="H20" t="str">
        <x:v>A</x:v>
      </x:c>
    </x:row>
    <x:row r="21">
      <x:c r="A21" t="str">
        <x:v>SRC_WHO_CCD_9_12</x:v>
      </x:c>
      <x:c r="B21" t="str">
        <x:v>WHO / UNICEF</x:v>
      </x:c>
      <x:c r="C21" t="str">
        <x:v>Care for Child Development — 9 months up to 12 months</x:v>
      </x:c>
      <x:c r="D21" t="str">
        <x:v>2012/current hosted resource</x:v>
      </x:c>
      <x:c r="E21" t="str">
        <x:v>Evidence-based programme/manual</x:v>
      </x:c>
      <x:c r="F21" t="str">
        <x:v>https://iris.who.int/bitstream/handle/10665/75149/9789241548403_eng_Participant_Manual.pdf?sequence=13</x:v>
      </x:c>
      <x:c r="G21" t="str">
        <x:v>For 9–12 months: hide a favourite toy under cloth/box and see if child can find it; play peek-a-boo; name people/things and model gestures such as bye-bye.</x:v>
      </x:c>
      <x:c r="H21" t="str">
        <x:v>A</x:v>
      </x:c>
    </x:row>
  </x:sheetData>
  <x:pageMargins left="0.7" right="0.7" top="0.75" bottom="0.75" header="0.3" footer="0.3"/>
  <x:tableParts count="1">
    <x:tablePart xmlns:r="http://schemas.openxmlformats.org/officeDocument/2006/relationships" r:id="R606931e27c204bf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22" hidden="0" customWidth="1"/>
    <x:col min="4" max="4" width="14" hidden="0" customWidth="1"/>
    <x:col min="5" max="5" width="14" hidden="0" customWidth="1"/>
    <x:col min="6" max="6" width="25" hidden="0" customWidth="1"/>
    <x:col min="7" max="7" width="60" hidden="0" customWidth="1"/>
    <x:col min="8" max="8" width="46" hidden="0" customWidth="1"/>
    <x:col min="9" max="9" width="58" hidden="0" customWidth="1"/>
    <x:col min="10" max="10" width="18" hidden="0" customWidth="1"/>
  </x:cols>
  <x:sheetData>
    <x:row r="1">
      <x:c r="A1" s="28" t="str">
        <x:v>skill_id</x:v>
      </x:c>
      <x:c r="B1" s="28" t="str">
        <x:v>label</x:v>
      </x:c>
      <x:c r="C1" s="28" t="str">
        <x:v>domain</x:v>
      </x:c>
      <x:c r="D1" s="28" t="str">
        <x:v>min_age_days</x:v>
      </x:c>
      <x:c r="E1" s="28" t="str">
        <x:v>max_age_days</x:v>
      </x:c>
      <x:c r="F1" s="28" t="str">
        <x:v>observation_type</x:v>
      </x:c>
      <x:c r="G1" s="28" t="str">
        <x:v>description</x:v>
      </x:c>
      <x:c r="H1" s="28" t="str">
        <x:v>source_refs</x:v>
      </x:c>
      <x:c r="I1" s="28" t="str">
        <x:v>guardrail_note</x:v>
      </x:c>
      <x:c r="J1" s="28" t="str">
        <x:v>review_status</x:v>
      </x:c>
    </x:row>
    <x:row r="2">
      <x:c r="A2" s="34" t="str">
        <x:v>SK001</x:v>
      </x:c>
      <x:c r="B2" s="34" t="str">
        <x:v>Menatap wajah caregiver</x:v>
      </x:c>
      <x:c r="C2" s="34" t="str">
        <x:v>Sosial &amp; Emosi</x:v>
      </x:c>
      <x:c r="D2" s="34" t="n">
        <x:v>0</x:v>
      </x:c>
      <x:c r="E2" s="34" t="n">
        <x:v>90</x:v>
      </x:c>
      <x:c r="F2" s="34" t="str">
        <x:v>milestone/observation</x:v>
      </x:c>
      <x:c r="G2" s="34" t="str">
        <x:v>Memusatkan pandangan pada wajah caregiver beberapa saat.</x:v>
      </x:c>
      <x:c r="H2" s="34" t="str">
        <x:v>SRC_CDC_2M_2026; SRC_AAP_MOVEMENT_0_3</x:v>
      </x:c>
      <x:c r="I2" s="34" t="str">
        <x:v>Bukan tes; catat bila terlihat alami.</x:v>
      </x:c>
      <x:c r="J2" s="34" t="str">
        <x:v>source_checked</x:v>
      </x:c>
    </x:row>
    <x:row r="3">
      <x:c r="A3" s="34" t="str">
        <x:v>SK002</x:v>
      </x:c>
      <x:c r="B3" s="34" t="str">
        <x:v>Lebih tenang saat diajak bicara/digendong</x:v>
      </x:c>
      <x:c r="C3" s="34" t="str">
        <x:v>Sosial &amp; Emosi</x:v>
      </x:c>
      <x:c r="D3" s="34" t="n">
        <x:v>0</x:v>
      </x:c>
      <x:c r="E3" s="34" t="n">
        <x:v>90</x:v>
      </x:c>
      <x:c r="F3" s="34" t="str">
        <x:v>milestone/observation</x:v>
      </x:c>
      <x:c r="G3" s="34" t="str">
        <x:v>Tampak lebih tenang ketika caregiver bicara lembut atau menggendong.</x:v>
      </x:c>
      <x:c r="H3" s="34" t="str">
        <x:v>SRC_CDC_2M_2026; SRC_UNICEF_CCD</x:v>
      </x:c>
      <x:c r="I3" s="34" t="str">
        <x:v>Respons dipengaruhi lapar, lelah, sakit, lingkungan.</x:v>
      </x:c>
      <x:c r="J3" s="34" t="str">
        <x:v>source_checked</x:v>
      </x:c>
    </x:row>
    <x:row r="4">
      <x:c r="A4" s="34" t="str">
        <x:v>SK003</x:v>
      </x:c>
      <x:c r="B4" s="34" t="str">
        <x:v>Senyum responsif</x:v>
      </x:c>
      <x:c r="C4" s="34" t="str">
        <x:v>Sosial &amp; Emosi</x:v>
      </x:c>
      <x:c r="D4" s="34" t="n">
        <x:v>31</x:v>
      </x:c>
      <x:c r="E4" s="34" t="n">
        <x:v>120</x:v>
      </x:c>
      <x:c r="F4" s="34" t="str">
        <x:v>milestone/observation</x:v>
      </x:c>
      <x:c r="G4" s="34" t="str">
        <x:v>Senyum muncul saat caregiver tersenyum/berbicara/interaksi.</x:v>
      </x:c>
      <x:c r="H4" s="34" t="str">
        <x:v>SRC_CDC_2M_2026; SRC_UNICEF_CCD</x:v>
      </x:c>
      <x:c r="I4" s="34" t="str">
        <x:v>Jangan memaksa.</x:v>
      </x:c>
      <x:c r="J4" s="34" t="str">
        <x:v>source_checked</x:v>
      </x:c>
    </x:row>
    <x:row r="5">
      <x:c r="A5" s="34" t="str">
        <x:v>SK004</x:v>
      </x:c>
      <x:c r="B5" s="34" t="str">
        <x:v>Suara selain menangis</x:v>
      </x:c>
      <x:c r="C5" s="34" t="str">
        <x:v>Bahasa &amp; Komunikasi</x:v>
      </x:c>
      <x:c r="D5" s="34" t="n">
        <x:v>31</x:v>
      </x:c>
      <x:c r="E5" s="34" t="n">
        <x:v>120</x:v>
      </x:c>
      <x:c r="F5" s="34" t="str">
        <x:v>milestone/observation</x:v>
      </x:c>
      <x:c r="G5" s="34" t="str">
        <x:v>Cooing atau suara pendek selain tangisan.</x:v>
      </x:c>
      <x:c r="H5" s="34" t="str">
        <x:v>SRC_CDC_2M_2026</x:v>
      </x:c>
      <x:c r="I5" s="34" t="str">
        <x:v>Catat bila spontan.</x:v>
      </x:c>
      <x:c r="J5" s="34" t="str">
        <x:v>source_checked</x:v>
      </x:c>
    </x:row>
    <x:row r="6">
      <x:c r="A6" s="34" t="str">
        <x:v>SK005</x:v>
      </x:c>
      <x:c r="B6" s="34" t="str">
        <x:v>Memberi perhatian pada suara</x:v>
      </x:c>
      <x:c r="C6" s="34" t="str">
        <x:v>Bahasa &amp; Komunikasi</x:v>
      </x:c>
      <x:c r="D6" s="34" t="n">
        <x:v>0</x:v>
      </x:c>
      <x:c r="E6" s="34" t="n">
        <x:v>120</x:v>
      </x:c>
      <x:c r="F6" s="34" t="str">
        <x:v>milestone/observation</x:v>
      </x:c>
      <x:c r="G6" s="34" t="str">
        <x:v>Terdiam, berubah ekspresi, atau mengarahkan perhatian saat mendengar suara.</x:v>
      </x:c>
      <x:c r="H6" s="34" t="str">
        <x:v>SRC_CDC_2M_2026; SRC_AAP_MOVEMENT_0_3</x:v>
      </x:c>
      <x:c r="I6" s="34" t="str">
        <x:v>Bukan uji pendengaran.</x:v>
      </x:c>
      <x:c r="J6" s="34" t="str">
        <x:v>source_checked</x:v>
      </x:c>
    </x:row>
    <x:row r="7">
      <x:c r="A7" s="34" t="str">
        <x:v>SK006</x:v>
      </x:c>
      <x:c r="B7" s="34" t="str">
        <x:v>Mengikuti orang/benda dengan mata</x:v>
      </x:c>
      <x:c r="C7" s="34" t="str">
        <x:v>Berpikir &amp; Eksplorasi</x:v>
      </x:c>
      <x:c r="D7" s="34" t="n">
        <x:v>31</x:v>
      </x:c>
      <x:c r="E7" s="34" t="n">
        <x:v>120</x:v>
      </x:c>
      <x:c r="F7" s="34" t="str">
        <x:v>developmental observation</x:v>
      </x:c>
      <x:c r="G7" s="34" t="str">
        <x:v>Pandangan mengikuti wajah/objek yang bergerak perlahan.</x:v>
      </x:c>
      <x:c r="H7" s="34" t="str">
        <x:v>SRC_UNICEF_CCD_CARDS; SRC_AAP_MOVEMENT_0_3</x:v>
      </x:c>
      <x:c r="I7" s="34" t="str">
        <x:v>Satu kegagalan bukan kesimpulan.</x:v>
      </x:c>
      <x:c r="J7" s="34" t="str">
        <x:v>source_checked</x:v>
      </x:c>
    </x:row>
    <x:row r="8">
      <x:c r="A8" s="34" t="str">
        <x:v>SK007</x:v>
      </x:c>
      <x:c r="B8" s="34" t="str">
        <x:v>Memperhatikan benda beberapa detik</x:v>
      </x:c>
      <x:c r="C8" s="34" t="str">
        <x:v>Berpikir &amp; Eksplorasi</x:v>
      </x:c>
      <x:c r="D8" s="34" t="n">
        <x:v>31</x:v>
      </x:c>
      <x:c r="E8" s="34" t="n">
        <x:v>120</x:v>
      </x:c>
      <x:c r="F8" s="34" t="str">
        <x:v>milestone/observation</x:v>
      </x:c>
      <x:c r="G8" s="34" t="str">
        <x:v>Memandang objek/gambar beberapa detik.</x:v>
      </x:c>
      <x:c r="H8" s="34" t="str">
        <x:v>SRC_CDC_2M_2026</x:v>
      </x:c>
      <x:c r="I8" s="34" t="str">
        <x:v>Gunakan objek sederhana.</x:v>
      </x:c>
      <x:c r="J8" s="34" t="str">
        <x:v>source_checked</x:v>
      </x:c>
    </x:row>
    <x:row r="9">
      <x:c r="A9" s="34" t="str">
        <x:v>SK008</x:v>
      </x:c>
      <x:c r="B9" s="34" t="str">
        <x:v>Mengangkat kepala saat tummy time</x:v>
      </x:c>
      <x:c r="C9" s="34" t="str">
        <x:v>Gerak Tubuh</x:v>
      </x:c>
      <x:c r="D9" s="34" t="n">
        <x:v>31</x:v>
      </x:c>
      <x:c r="E9" s="34" t="n">
        <x:v>120</x:v>
      </x:c>
      <x:c r="F9" s="34" t="str">
        <x:v>milestone/observation</x:v>
      </x:c>
      <x:c r="G9" s="34" t="str">
        <x:v>Mencoba/mampu mengangkat kepala saat tengkurap ketika terjaga.</x:v>
      </x:c>
      <x:c r="H9" s="34" t="str">
        <x:v>SRC_CDC_2M_2026; SRC_AAP_TUMMY</x:v>
      </x:c>
      <x:c r="I9" s="34" t="str">
        <x:v>Awake + supervised.</x:v>
      </x:c>
      <x:c r="J9" s="34" t="str">
        <x:v>source_checked</x:v>
      </x:c>
    </x:row>
    <x:row r="10">
      <x:c r="A10" s="34" t="str">
        <x:v>SK009</x:v>
      </x:c>
      <x:c r="B10" s="34" t="str">
        <x:v>Menggerakkan lengan dan tungkai</x:v>
      </x:c>
      <x:c r="C10" s="34" t="str">
        <x:v>Gerak Tubuh</x:v>
      </x:c>
      <x:c r="D10" s="34" t="n">
        <x:v>0</x:v>
      </x:c>
      <x:c r="E10" s="34" t="n">
        <x:v>120</x:v>
      </x:c>
      <x:c r="F10" s="34" t="str">
        <x:v>milestone/observation</x:v>
      </x:c>
      <x:c r="G10" s="34" t="str">
        <x:v>Menggerakkan kedua lengan dan tungkai dalam aktivitas sehari-hari.</x:v>
      </x:c>
      <x:c r="H10" s="34" t="str">
        <x:v>SRC_CDC_2M_2026; SRC_UNICEF_CCD_CARDS</x:v>
      </x:c>
      <x:c r="I10" s="34" t="str">
        <x:v>Tidak menilai simetri melalui app.</x:v>
      </x:c>
      <x:c r="J10" s="34" t="str">
        <x:v>source_checked</x:v>
      </x:c>
    </x:row>
    <x:row r="11">
      <x:c r="A11" s="34" t="str">
        <x:v>SK010</x:v>
      </x:c>
      <x:c r="B11" s="34" t="str">
        <x:v>Membuka tangan sesaat</x:v>
      </x:c>
      <x:c r="C11" s="34" t="str">
        <x:v>Tangan &amp; Koordinasi</x:v>
      </x:c>
      <x:c r="D11" s="34" t="n">
        <x:v>31</x:v>
      </x:c>
      <x:c r="E11" s="34" t="n">
        <x:v>120</x:v>
      </x:c>
      <x:c r="F11" s="34" t="str">
        <x:v>milestone/observation</x:v>
      </x:c>
      <x:c r="G11" s="34" t="str">
        <x:v>Tangan sesekali terbuka.</x:v>
      </x:c>
      <x:c r="H11" s="34" t="str">
        <x:v>SRC_CDC_2M_2026</x:v>
      </x:c>
      <x:c r="I11" s="34" t="str">
        <x:v>Observasi, bukan skor.</x:v>
      </x:c>
      <x:c r="J11" s="34" t="str">
        <x:v>source_checked</x:v>
      </x:c>
    </x:row>
    <x:row r="12">
      <x:c r="A12" s="34" t="str">
        <x:v>SK011</x:v>
      </x:c>
      <x:c r="B12" s="34" t="str">
        <x:v>Tangan ke tengah tubuh/mulut</x:v>
      </x:c>
      <x:c r="C12" s="34" t="str">
        <x:v>Tangan &amp; Koordinasi</x:v>
      </x:c>
      <x:c r="D12" s="34" t="n">
        <x:v>31</x:v>
      </x:c>
      <x:c r="E12" s="34" t="n">
        <x:v>120</x:v>
      </x:c>
      <x:c r="F12" s="34" t="str">
        <x:v>developmental observation</x:v>
      </x:c>
      <x:c r="G12" s="34" t="str">
        <x:v>Mulai memperhatikan tangan dan membawanya ke tengah/mulut.</x:v>
      </x:c>
      <x:c r="H12" s="34" t="str">
        <x:v>SRC_AAP_MOVEMENT_0_3</x:v>
      </x:c>
      <x:c r="I12" s="34" t="str">
        <x:v>Tidak diarahkan paksa.</x:v>
      </x:c>
      <x:c r="J12" s="34" t="str">
        <x:v>source_checked</x:v>
      </x:c>
    </x:row>
    <x:row r="13">
      <x:c r="A13" s="34" t="str">
        <x:v>SK012</x:v>
      </x:c>
      <x:c r="B13" s="34" t="str">
        <x:v>Mencoba meraih jari/benda</x:v>
      </x:c>
      <x:c r="C13" s="34" t="str">
        <x:v>Tangan &amp; Koordinasi</x:v>
      </x:c>
      <x:c r="D13" s="34" t="n">
        <x:v>61</x:v>
      </x:c>
      <x:c r="E13" s="34" t="n">
        <x:v>120</x:v>
      </x:c>
      <x:c r="F13" s="34" t="str">
        <x:v>developmental observation</x:v>
      </x:c>
      <x:c r="G13" s="34" t="str">
        <x:v>Mengarahkan tangan ke jari caregiver atau benda aman.</x:v>
      </x:c>
      <x:c r="H13" s="34" t="str">
        <x:v>SRC_UNICEF_CCD; SRC_KIA_2024</x:v>
      </x:c>
      <x:c r="I13" s="34" t="str">
        <x:v>Variasi usia luas; bukan target wajib.</x:v>
      </x:c>
      <x:c r="J13" s="34" t="str">
        <x:v>source_checked</x:v>
      </x:c>
    </x:row>
    <x:row r="14">
      <x:c r="A14" s="34" t="str">
        <x:v>SK013</x:v>
      </x:c>
      <x:c r="B14" s="34" t="str">
        <x:v>Merespons suara caregiver dengan suara</x:v>
      </x:c>
      <x:c r="C14" s="34" t="str">
        <x:v>Bahasa &amp; Komunikasi</x:v>
      </x:c>
      <x:c r="D14" s="34" t="n">
        <x:v>31</x:v>
      </x:c>
      <x:c r="E14" s="34" t="n">
        <x:v>120</x:v>
      </x:c>
      <x:c r="F14" s="34" t="str">
        <x:v>developmental observation</x:v>
      </x:c>
      <x:c r="G14" s="34" t="str">
        <x:v>Mengeluarkan suara setelah caregiver berbicara/meniru.</x:v>
      </x:c>
      <x:c r="H14" s="34" t="str">
        <x:v>SRC_UNICEF_CCD_CARDS; SRC_CDC_2M_2026</x:v>
      </x:c>
      <x:c r="I14" s="34" t="str">
        <x:v>Berikan jeda.</x:v>
      </x:c>
      <x:c r="J14" s="34" t="str">
        <x:v>source_checked</x:v>
      </x:c>
    </x:row>
    <x:row r="15">
      <x:c r="A15" s="34" t="str">
        <x:v>SK014</x:v>
      </x:c>
      <x:c r="B15" s="34" t="str">
        <x:v>Perhatian ke suara familiar</x:v>
      </x:c>
      <x:c r="C15" s="34" t="str">
        <x:v>Bahasa &amp; Komunikasi</x:v>
      </x:c>
      <x:c r="D15" s="34" t="n">
        <x:v>0</x:v>
      </x:c>
      <x:c r="E15" s="34" t="n">
        <x:v>120</x:v>
      </x:c>
      <x:c r="F15" s="34" t="str">
        <x:v>developmental observation</x:v>
      </x:c>
      <x:c r="G15" s="34" t="str">
        <x:v>Tampak tertarik/mengarahkan pandangan pada suara caregiver familiar.</x:v>
      </x:c>
      <x:c r="H15" s="34" t="str">
        <x:v>SRC_AAP_MOVEMENT_0_3</x:v>
      </x:c>
      <x:c r="I15" s="34" t="str">
        <x:v>Bukan tes pendengaran.</x:v>
      </x:c>
      <x:c r="J15" s="34" t="str">
        <x:v>source_checked</x:v>
      </x:c>
    </x:row>
    <x:row r="16">
      <x:c r="A16" s="34" t="str">
        <x:v>SK015</x:v>
      </x:c>
      <x:c r="B16" s="34" t="str">
        <x:v>Minat pada refleksi/wajah</x:v>
      </x:c>
      <x:c r="C16" s="34" t="str">
        <x:v>Sosial &amp; Emosi</x:v>
      </x:c>
      <x:c r="D16" s="34" t="n">
        <x:v>61</x:v>
      </x:c>
      <x:c r="E16" s="34" t="n">
        <x:v>120</x:v>
      </x:c>
      <x:c r="F16" s="34" t="str">
        <x:v>activity observation</x:v>
      </x:c>
      <x:c r="G16" s="34" t="str">
        <x:v>Memperhatikan wajah/refleksi di cermin aman.</x:v>
      </x:c>
      <x:c r="H16" s="34" t="str">
        <x:v>SRC_CDC_2M_2026</x:v>
      </x:c>
      <x:c r="I16" s="34" t="str">
        <x:v>Bukan self-recognition test.</x:v>
      </x:c>
      <x:c r="J16" s="34" t="str">
        <x:v>source_checked</x:v>
      </x:c>
    </x:row>
  </x:sheetData>
  <x:dataValidations count="1">
    <x:dataValidation type="list" sqref="J2:J16">
      <x:formula1>"draft,source_checked,clinical_review,approved"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713bda01bb2417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22" hidden="0" customWidth="1"/>
    <x:col min="9" max="9" width="24" hidden="0" customWidth="1"/>
    <x:col min="10" max="10" width="18" hidden="0" customWidth="1"/>
    <x:col min="11" max="11" width="14" hidden="0" customWidth="1"/>
    <x:col min="12" max="12" width="36" hidden="0" customWidth="1"/>
    <x:col min="13" max="13" width="58" hidden="0" customWidth="1"/>
    <x:col min="14" max="14" width="72" hidden="0" customWidth="1"/>
    <x:col min="15" max="15" width="82" hidden="0" customWidth="1"/>
    <x:col min="16" max="16" width="62" hidden="0" customWidth="1"/>
    <x:col min="17" max="17" width="42" hidden="0" customWidth="1"/>
    <x:col min="18" max="18" width="46" hidden="0" customWidth="1"/>
    <x:col min="19" max="19" width="78" hidden="0" customWidth="1"/>
    <x:col min="20" max="20" width="68" hidden="0" customWidth="1"/>
    <x:col min="21" max="21" width="58" hidden="0" customWidth="1"/>
    <x:col min="22" max="22" width="46" hidden="0" customWidth="1"/>
    <x:col min="23" max="23" width="72" hidden="0" customWidth="1"/>
    <x:col min="24" max="24" width="18" hidden="0" customWidth="1"/>
    <x:col min="25" max="25" width="20" hidden="0" customWidth="1"/>
    <x:col min="26" max="26" width="18" hidden="0" customWidth="1"/>
    <x:col min="27" max="27" width="15" hidden="0" customWidth="1"/>
  </x:cols>
  <x:sheetData>
    <x:row r="1">
      <x:c r="A1" s="28" t="str">
        <x:v>activity_id</x:v>
      </x:c>
      <x:c r="B1" s="28" t="str">
        <x:v>title</x:v>
      </x:c>
      <x:c r="C1" s="28" t="str">
        <x:v>age_label</x:v>
      </x:c>
      <x:c r="D1" s="28" t="str">
        <x:v>min_age_days</x:v>
      </x:c>
      <x:c r="E1" s="28" t="str">
        <x:v>max_age_days</x:v>
      </x:c>
      <x:c r="F1" s="28" t="str">
        <x:v>min_age_month</x:v>
      </x:c>
      <x:c r="G1" s="28" t="str">
        <x:v>max_age_month</x:v>
      </x:c>
      <x:c r="H1" s="28" t="str">
        <x:v>primary_domain</x:v>
      </x:c>
      <x:c r="I1" s="28" t="str">
        <x:v>secondary_domains</x:v>
      </x:c>
      <x:c r="J1" s="28" t="str">
        <x:v>activity_type</x:v>
      </x:c>
      <x:c r="K1" s="28" t="str">
        <x:v>duration_minutes</x:v>
      </x:c>
      <x:c r="L1" s="28" t="str">
        <x:v>materials</x:v>
      </x:c>
      <x:c r="M1" s="28" t="str">
        <x:v>benefit_short</x:v>
      </x:c>
      <x:c r="N1" s="28" t="str">
        <x:v>benefit_detail</x:v>
      </x:c>
      <x:c r="O1" s="28" t="str">
        <x:v>instructions</x:v>
      </x:c>
      <x:c r="P1" s="28" t="str">
        <x:v>observe_items</x:v>
      </x:c>
      <x:c r="Q1" s="28" t="str">
        <x:v>easy_variation</x:v>
      </x:c>
      <x:c r="R1" s="28" t="str">
        <x:v>alternate_variation</x:v>
      </x:c>
      <x:c r="S1" s="28" t="str">
        <x:v>safety_notes</x:v>
      </x:c>
      <x:c r="T1" s="28" t="str">
        <x:v>stop_conditions</x:v>
      </x:c>
      <x:c r="U1" s="28" t="str">
        <x:v>prematurity_notes</x:v>
      </x:c>
      <x:c r="V1" s="28" t="str">
        <x:v>source_refs</x:v>
      </x:c>
      <x:c r="W1" s="28" t="str">
        <x:v>evidence_note</x:v>
      </x:c>
      <x:c r="X1" s="28" t="str">
        <x:v>review_status</x:v>
      </x:c>
      <x:c r="Y1" s="28" t="str">
        <x:v>reviewer</x:v>
      </x:c>
      <x:c r="Z1" s="28" t="str">
        <x:v>last_reviewed_at</x:v>
      </x:c>
      <x:c r="AA1" s="28" t="str">
        <x:v>content_version</x:v>
      </x:c>
    </x:row>
    <x:row r="2">
      <x:c r="A2" s="34" t="str">
        <x:v>ACT001</x:v>
      </x:c>
      <x:c r="B2" s="34" t="str">
        <x:v>Tummy Time di Dada</x:v>
      </x:c>
      <x:c r="C2" s="34" t="str">
        <x:v>0–1 bulan</x:v>
      </x:c>
      <x:c r="D2" s="34" t="n">
        <x:v>0</x:v>
      </x:c>
      <x:c r="E2" s="34" t="n">
        <x:v>60</x:v>
      </x:c>
      <x:c r="F2" s="34" t="n">
        <x:v>0</x:v>
      </x:c>
      <x:c r="G2" s="34" t="n">
        <x:v>1</x:v>
      </x:c>
      <x:c r="H2" s="34" t="str">
        <x:v>Gerak Tubuh</x:v>
      </x:c>
      <x:c r="I2" s="34" t="str">
        <x:v>Sosial &amp; Emosi</x:v>
      </x:c>
      <x:c r="J2" s="34" t="str">
        <x:v>gerak</x:v>
      </x:c>
      <x:c r="K2" s="34" t="n">
        <x:v>3</x:v>
      </x:c>
      <x:c r="L2" s="34" t="str">
        <x:v>Dada caregiver; alas aman</x:v>
      </x:c>
      <x:c r="M2" s="34" t="str">
        <x:v>Memberi kesempatan Si Kecil menggunakan otot leher dan tubuh bagian atas sambil tetap dekat dengan caregiver.</x:v>
      </x:c>
      <x:c r="N2" s="34" t="str">
        <x:v>Posisi tengkurap di dada caregiver dapat menjadi bentuk awal tummy time yang lebih nyaman sekaligus memberi kesempatan melihat wajah caregiver.</x:v>
      </x:c>
      <x:c r="O2" s="34" t="str">
        <x:v>1) Caregiver setengah bersandar dan terjaga. 2) Letakkan bayi tengkurap di dada, kepala ke samping/terangkat sesuai kemampuan. 3) Ajak bicara lembut 1–3 menit.</x:v>
      </x:c>
      <x:c r="P2" s="34" t="str">
        <x:v>Apakah Si Kecil mencoba mengangkat/memutar kepala; melihat wajah; tampak nyaman.</x:v>
      </x:c>
      <x:c r="Q2" s="34" t="str">
        <x:v>Mulai 30–60 detik.</x:v>
      </x:c>
      <x:c r="R2" s="34" t="str">
        <x:v>Tambah sedikit demi sedikit bila nyaman.</x:v>
      </x:c>
      <x:c r="S2" s="34" t="str">
        <x:v>Hanya saat bayi terjaga; caregiver terjaga dan mengawasi; topang kepala/leher bila perlu; bukan posisi tidur.</x:v>
      </x:c>
      <x:c r="T2" s="34" t="str">
        <x:v>Hentikan bila sangat menangis, tampak sulit bernapas, berubah warna, sangat lelah, atau tertidur.</x:v>
      </x:c>
      <x:c r="U2" s="34" t="str">
        <x:v>Bayi prematur/medis: ikuti anjuran tenaga kesehatan dan toleransi individual.</x:v>
      </x:c>
      <x:c r="V2" s="34" t="str">
        <x:v>SRC_AAP_TUMMY; SRC_AAP_ACTIVITY_0_3; SRC_UNICEF_CCD_CARDS</x:v>
      </x:c>
      <x:c r="W2" s="34" t="str">
        <x:v>AAP mendukung supervised awake tummy time; CCD mendukung gerak, sentuhan, kedekatan dan komunikasi sejak lahir.</x:v>
      </x:c>
      <x:c r="X2" s="34" t="str">
        <x:v>source_checked</x:v>
      </x:c>
      <x:c r="Y2" s="34" t="str"/>
      <x:c r="Z2" s="34" t="str"/>
      <x:c r="AA2" s="34" t="str">
        <x:v>v0.1</x:v>
      </x:c>
    </x:row>
    <x:row r="3">
      <x:c r="A3" s="34" t="str">
        <x:v>ACT002</x:v>
      </x:c>
      <x:c r="B3" s="34" t="str">
        <x:v>Gerak Bebas di Matras</x:v>
      </x:c>
      <x:c r="C3" s="34" t="str">
        <x:v>0–3 bulan</x:v>
      </x:c>
      <x:c r="D3" s="34" t="n">
        <x:v>0</x:v>
      </x:c>
      <x:c r="E3" s="34" t="n">
        <x:v>120</x:v>
      </x:c>
      <x:c r="F3" s="34" t="n">
        <x:v>0</x:v>
      </x:c>
      <x:c r="G3" s="34" t="n">
        <x:v>3</x:v>
      </x:c>
      <x:c r="H3" s="34" t="str">
        <x:v>Gerak Tubuh</x:v>
      </x:c>
      <x:c r="I3" s="34" t="str">
        <x:v>Tangan &amp; Koordinasi</x:v>
      </x:c>
      <x:c r="J3" s="34" t="str">
        <x:v>gerak</x:v>
      </x:c>
      <x:c r="K3" s="34" t="n">
        <x:v>5</x:v>
      </x:c>
      <x:c r="L3" s="34" t="str">
        <x:v>Matras datar dan aman</x:v>
      </x:c>
      <x:c r="M3" s="34" t="str">
        <x:v>Memberi ruang Si Kecil menggerakkan lengan dan tungkai secara bebas serta mengeksplorasi tubuhnya.</x:v>
      </x:c>
      <x:c r="N3" s="34" t="str">
        <x:v>Kesempatan bergerak bebas saat terjaga memberi pengalaman motorik tanpa memaksa bayi ke posisi tertentu.</x:v>
      </x:c>
      <x:c r="O3" s="34" t="str">
        <x:v>1) Baringkan telentang di matras datar. 2) Longgarkan pakaian yang menghambat gerak. 3) Biarkan bayi menendang dan menggerakkan tangan sambil caregiver berbicara.</x:v>
      </x:c>
      <x:c r="P3" s="34" t="str">
        <x:v>Gerakan lengan/tungkai; tangan terbuka; perhatian pada caregiver.</x:v>
      </x:c>
      <x:c r="Q3" s="34" t="str">
        <x:v>2 menit saja.</x:v>
      </x:c>
      <x:c r="R3" s="34" t="str">
        <x:v>Tambahkan percakapan atau objek visual sederhana.</x:v>
      </x:c>
      <x:c r="S3" s="34" t="str">
        <x:v>Selalu diawasi; jangan gunakan permukaan tinggi/empuk; singkirkan benda kecil/longgar.</x:v>
      </x:c>
      <x:c r="T3" s="34" t="str">
        <x:v>Hentikan jika bayi lelah, menangis terus, atau tertidur; pindahkan ke tempat tidur aman bila tidur.</x:v>
      </x:c>
      <x:c r="U3" s="34" t="str">
        <x:v>Prematur: sesuaikan dengan toleransi dan saran tenaga kesehatan.</x:v>
      </x:c>
      <x:c r="V3" s="34" t="str">
        <x:v>SRC_UNICEF_CCD_CARDS; SRC_AAP_ACTIVITY_0_3; SRC_CDC_2M_2026</x:v>
      </x:c>
      <x:c r="W3" s="34" t="str">
        <x:v>WHO/UNICEF mendorong kesempatan bergerak bebas; CDC mencantumkan gerakan lengan/tungkai sebagai observasi 2 bulan.</x:v>
      </x:c>
      <x:c r="X3" s="34" t="str">
        <x:v>source_checked</x:v>
      </x:c>
      <x:c r="Y3" s="34" t="str"/>
      <x:c r="Z3" s="34" t="str"/>
      <x:c r="AA3" s="34" t="str">
        <x:v>v0.1</x:v>
      </x:c>
    </x:row>
    <x:row r="4">
      <x:c r="A4" s="34" t="str">
        <x:v>ACT003</x:v>
      </x:c>
      <x:c r="B4" s="34" t="str">
        <x:v>Tummy Time Singkat di Permukaan Datar</x:v>
      </x:c>
      <x:c r="C4" s="34" t="str">
        <x:v>0–3 bulan</x:v>
      </x:c>
      <x:c r="D4" s="34" t="n">
        <x:v>0</x:v>
      </x:c>
      <x:c r="E4" s="34" t="n">
        <x:v>120</x:v>
      </x:c>
      <x:c r="F4" s="34" t="n">
        <x:v>0</x:v>
      </x:c>
      <x:c r="G4" s="34" t="n">
        <x:v>3</x:v>
      </x:c>
      <x:c r="H4" s="34" t="str">
        <x:v>Gerak Tubuh</x:v>
      </x:c>
      <x:c r="I4" s="34" t="str">
        <x:v>Berpikir &amp; Eksplorasi</x:v>
      </x:c>
      <x:c r="J4" s="34" t="str">
        <x:v>gerak</x:v>
      </x:c>
      <x:c r="K4" s="34" t="n">
        <x:v>3</x:v>
      </x:c>
      <x:c r="L4" s="34" t="str">
        <x:v>Matras datar dan kokoh</x:v>
      </x:c>
      <x:c r="M4" s="34" t="str">
        <x:v>Memberi kesempatan melatih kontrol kepala, leher, bahu dan tubuh bagian atas serta melihat lingkungan dari posisi berbeda.</x:v>
      </x:c>
      <x:c r="N4" s="34" t="str">
        <x:v>Tummy time saat terjaga dan diawasi direkomendasikan sebagai bagian aktivitas bayi.</x:v>
      </x:c>
      <x:c r="O4" s="34" t="str">
        <x:v>1) Setelah bayi bangun dan tenang, letakkan tengkurap di matras. 2) Posisikan wajah caregiver di depan. 3) Mulai singkat lalu tambah sesuai toleransi.</x:v>
      </x:c>
      <x:c r="P4" s="34" t="str">
        <x:v>Mencoba mengangkat/menolehkan kepala; melihat wajah; menggunakan lengan untuk menopang.</x:v>
      </x:c>
      <x:c r="Q4" s="34" t="str">
        <x:v>Coba di dada caregiver bila belum nyaman di matras.</x:v>
      </x:c>
      <x:c r="R4" s="34" t="str">
        <x:v>Letakkan wajah caregiver atau objek aman di depan.</x:v>
      </x:c>
      <x:c r="S4" s="34" t="str">
        <x:v>Hanya saat terjaga dan diawasi; tidur tetap telentang; permukaan datar dan kokoh.</x:v>
      </x:c>
      <x:c r="T4" s="34" t="str">
        <x:v>Hentikan jika bayi tertidur, tampak sesak, sangat distress, atau jalan napas tidak bebas.</x:v>
      </x:c>
      <x:c r="U4" s="34" t="str">
        <x:v>Prematur/medis: konsultasikan posisi dan toleransi sesuai kondisi.</x:v>
      </x:c>
      <x:c r="V4" s="34" t="str">
        <x:v>SRC_AAP_TUMMY; SRC_AAP_ACTIVITY_0_3</x:v>
      </x:c>
      <x:c r="W4" s="34" t="str">
        <x:v>AAP: tummy time untuk bayi yang terjaga dan diawasi, dimulai singkat dan ditambah bertahap.</x:v>
      </x:c>
      <x:c r="X4" s="34" t="str">
        <x:v>source_checked</x:v>
      </x:c>
      <x:c r="Y4" s="34" t="str"/>
      <x:c r="Z4" s="34" t="str"/>
      <x:c r="AA4" s="34" t="str">
        <x:v>v0.1</x:v>
      </x:c>
    </x:row>
    <x:row r="5">
      <x:c r="A5" s="34" t="str">
        <x:v>ACT004</x:v>
      </x:c>
      <x:c r="B5" s="34" t="str">
        <x:v>Tummy Time dengan Wajah Ayah/Bunda</x:v>
      </x:c>
      <x:c r="C5" s="34" t="str">
        <x:v>1–3 bulan</x:v>
      </x:c>
      <x:c r="D5" s="34" t="n">
        <x:v>31</x:v>
      </x:c>
      <x:c r="E5" s="34" t="n">
        <x:v>120</x:v>
      </x:c>
      <x:c r="F5" s="34" t="n">
        <x:v>1</x:v>
      </x:c>
      <x:c r="G5" s="34" t="n">
        <x:v>3</x:v>
      </x:c>
      <x:c r="H5" s="34" t="str">
        <x:v>Gerak Tubuh</x:v>
      </x:c>
      <x:c r="I5" s="34" t="str">
        <x:v>Sosial &amp; Emosi</x:v>
      </x:c>
      <x:c r="J5" s="34" t="str">
        <x:v>gerak</x:v>
      </x:c>
      <x:c r="K5" s="34" t="n">
        <x:v>4</x:v>
      </x:c>
      <x:c r="L5" s="34" t="str">
        <x:v>Matras aman</x:v>
      </x:c>
      <x:c r="M5" s="34" t="str">
        <x:v>Memberi kesempatan melatih kontrol kepala sambil memperkuat interaksi melalui wajah dan suara caregiver.</x:v>
      </x:c>
      <x:c r="N5" s="34" t="str">
        <x:v>Wajah caregiver dapat menjadi stimulus sosial yang menarik selama tummy time.</x:v>
      </x:c>
      <x:c r="O5" s="34" t="str">
        <x:v>1) Bayi tummy time. 2) Caregiver sejajarkan wajah di depan dalam jarak dekat. 3) Bicara/senyum dan beri waktu bayi mengangkat kepala.</x:v>
      </x:c>
      <x:c r="P5" s="34" t="str">
        <x:v>Upaya mengangkat kepala; fokus ke wajah; respons suara/ekspresi.</x:v>
      </x:c>
      <x:c r="Q5" s="34" t="str">
        <x:v>Dekatkan wajah dan singkatkan durasi.</x:v>
      </x:c>
      <x:c r="R5" s="34" t="str">
        <x:v>Gerakkan wajah sedikit kiri/kanan perlahan.</x:v>
      </x:c>
      <x:c r="S5" s="34" t="str">
        <x:v>Awake + supervised; jangan memaksa kepala; pastikan hidung/mulut bebas.</x:v>
      </x:c>
      <x:c r="T5" s="34" t="str">
        <x:v>Hentikan bila distress, napas tidak nyaman, atau lelah.</x:v>
      </x:c>
      <x:c r="U5" s="34" t="str">
        <x:v>Prematur: gunakan toleransi individual dan corrected age untuk konteks perkembangan.</x:v>
      </x:c>
      <x:c r="V5" s="34" t="str">
        <x:v>SRC_AAP_TUMMY; SRC_CDC_2M_2026; SRC_UNICEF_CCD</x:v>
      </x:c>
      <x:c r="W5" s="34" t="str">
        <x:v>Menggabungkan tummy time dengan face-to-face responsive interaction.</x:v>
      </x:c>
      <x:c r="X5" s="34" t="str">
        <x:v>source_checked</x:v>
      </x:c>
      <x:c r="Y5" s="34" t="str"/>
      <x:c r="Z5" s="34" t="str"/>
      <x:c r="AA5" s="34" t="str">
        <x:v>v0.1</x:v>
      </x:c>
    </x:row>
    <x:row r="6">
      <x:c r="A6" s="34" t="str">
        <x:v>ACT005</x:v>
      </x:c>
      <x:c r="B6" s="34" t="str">
        <x:v>Tendang Bebas Sambil Diajak Bicara</x:v>
      </x:c>
      <x:c r="C6" s="34" t="str">
        <x:v>1–3 bulan</x:v>
      </x:c>
      <x:c r="D6" s="34" t="n">
        <x:v>31</x:v>
      </x:c>
      <x:c r="E6" s="34" t="n">
        <x:v>120</x:v>
      </x:c>
      <x:c r="F6" s="34" t="n">
        <x:v>1</x:v>
      </x:c>
      <x:c r="G6" s="34" t="n">
        <x:v>3</x:v>
      </x:c>
      <x:c r="H6" s="34" t="str">
        <x:v>Gerak Tubuh</x:v>
      </x:c>
      <x:c r="I6" s="34" t="str">
        <x:v>Bahasa &amp; Komunikasi</x:v>
      </x:c>
      <x:c r="J6" s="34" t="str">
        <x:v>gerak</x:v>
      </x:c>
      <x:c r="K6" s="34" t="n">
        <x:v>5</x:v>
      </x:c>
      <x:c r="L6" s="34" t="str">
        <x:v>Matras aman</x:v>
      </x:c>
      <x:c r="M6" s="34" t="str">
        <x:v>Memberi kesempatan menggerakkan tungkai secara bebas sambil menghubungkan gerak dengan interaksi caregiver.</x:v>
      </x:c>
      <x:c r="N6" s="34" t="str">
        <x:v>Gerak bebas dan komunikasi responsif dapat dilakukan bersama dalam aktivitas singkat.</x:v>
      </x:c>
      <x:c r="O6" s="34" t="str">
        <x:v>1) Baringkan telentang. 2) Biarkan kaki bergerak bebas. 3) Ceritakan apa yang bayi lakukan tanpa menahan/memaksa.</x:v>
      </x:c>
      <x:c r="P6" s="34" t="str">
        <x:v>Gerakan kaki; perhatian pada suara; ekspresi kenyamanan.</x:v>
      </x:c>
      <x:c r="Q6" s="34" t="str">
        <x:v>2 menit saja.</x:v>
      </x:c>
      <x:c r="R6" s="34" t="str">
        <x:v>Tambahkan lagu sederhana mengikuti ritme gerak bayi.</x:v>
      </x:c>
      <x:c r="S6" s="34" t="str">
        <x:v>Jangan menarik/mendorong tungkai; selalu di permukaan aman dan diawasi.</x:v>
      </x:c>
      <x:c r="T6" s="34" t="str">
        <x:v>Hentikan jika bayi tidak nyaman atau lelah.</x:v>
      </x:c>
      <x:c r="U6" s="34" t="str">
        <x:v>Prematur: sesuaikan intensitas dan stimulasi.</x:v>
      </x:c>
      <x:c r="V6" s="34" t="str">
        <x:v>SRC_UNICEF_CCD_CARDS; SRC_AAP_ACTIVITY_0_3</x:v>
      </x:c>
      <x:c r="W6" s="34" t="str">
        <x:v>CCD mendorong move freely dan komunikasi; AAP mendorong kesempatan bergerak aktif.</x:v>
      </x:c>
      <x:c r="X6" s="34" t="str">
        <x:v>source_checked</x:v>
      </x:c>
      <x:c r="Y6" s="34" t="str"/>
      <x:c r="Z6" s="34" t="str"/>
      <x:c r="AA6" s="34" t="str">
        <x:v>v0.1</x:v>
      </x:c>
    </x:row>
    <x:row r="7">
      <x:c r="A7" s="34" t="str">
        <x:v>ACT006</x:v>
      </x:c>
      <x:c r="B7" s="34" t="str">
        <x:v>Tummy Time di Pangkuan</x:v>
      </x:c>
      <x:c r="C7" s="34" t="str">
        <x:v>0–2 bulan</x:v>
      </x:c>
      <x:c r="D7" s="34" t="n">
        <x:v>0</x:v>
      </x:c>
      <x:c r="E7" s="34" t="n">
        <x:v>90</x:v>
      </x:c>
      <x:c r="F7" s="34" t="n">
        <x:v>0</x:v>
      </x:c>
      <x:c r="G7" s="34" t="n">
        <x:v>2</x:v>
      </x:c>
      <x:c r="H7" s="34" t="str">
        <x:v>Gerak Tubuh</x:v>
      </x:c>
      <x:c r="I7" s="34" t="str">
        <x:v>Sosial &amp; Emosi</x:v>
      </x:c>
      <x:c r="J7" s="34" t="str">
        <x:v>gerak</x:v>
      </x:c>
      <x:c r="K7" s="34" t="n">
        <x:v>3</x:v>
      </x:c>
      <x:c r="L7" s="34" t="str">
        <x:v>Pangkuan caregiver</x:v>
      </x:c>
      <x:c r="M7" s="34" t="str">
        <x:v>Alternatif tummy time yang memberi kesempatan menggunakan leher/tubuh bagian atas dengan dukungan caregiver.</x:v>
      </x:c>
      <x:c r="N7" s="34" t="str">
        <x:v>Dapat menjadi variasi untuk bayi yang belum nyaman di lantai.</x:v>
      </x:c>
      <x:c r="O7" s="34" t="str">
        <x:v>1) Duduk stabil. 2) Letakkan bayi tengkurap melintang di paha dengan kepala/leher didukung. 3) Bicara lembut.</x:v>
      </x:c>
      <x:c r="P7" s="34" t="str">
        <x:v>Mencoba mengangkat kepala; rileks terhadap sentuhan/suara.</x:v>
      </x:c>
      <x:c r="Q7" s="34" t="str">
        <x:v>Jaga sesi sangat singkat.</x:v>
      </x:c>
      <x:c r="R7" s="34" t="str">
        <x:v>Perpanjang perlahan bila nyaman.</x:v>
      </x:c>
      <x:c r="S7" s="34" t="str">
        <x:v>Caregiver harus duduk stabil, terjaga dan mengawasi; jangan biarkan bayi tidur di posisi ini.</x:v>
      </x:c>
      <x:c r="T7" s="34" t="str">
        <x:v>Hentikan jika bayi mengantuk, distress, atau jalan napas tidak bebas.</x:v>
      </x:c>
      <x:c r="U7" s="34" t="str">
        <x:v>Prematur/medis: gunakan hanya jika sesuai anjuran klinis.</x:v>
      </x:c>
      <x:c r="V7" s="34" t="str">
        <x:v>SRC_AAP_TUMMY</x:v>
      </x:c>
      <x:c r="W7" s="34" t="str">
        <x:v>AAP menjelaskan lap tummy time sebagai variasi tummy time dengan pengawasan.</x:v>
      </x:c>
      <x:c r="X7" s="34" t="str">
        <x:v>source_checked</x:v>
      </x:c>
      <x:c r="Y7" s="34" t="str"/>
      <x:c r="Z7" s="34" t="str"/>
      <x:c r="AA7" s="34" t="str">
        <x:v>v0.1</x:v>
      </x:c>
    </x:row>
    <x:row r="8">
      <x:c r="A8" s="34" t="str">
        <x:v>ACT007</x:v>
      </x:c>
      <x:c r="B8" s="34" t="str">
        <x:v>Sentuh Jari Ayah/Bunda</x:v>
      </x:c>
      <x:c r="C8" s="34" t="str">
        <x:v>0–2 bulan</x:v>
      </x:c>
      <x:c r="D8" s="34" t="n">
        <x:v>0</x:v>
      </x:c>
      <x:c r="E8" s="34" t="n">
        <x:v>90</x:v>
      </x:c>
      <x:c r="F8" s="34" t="n">
        <x:v>0</x:v>
      </x:c>
      <x:c r="G8" s="34" t="n">
        <x:v>2</x:v>
      </x:c>
      <x:c r="H8" s="34" t="str">
        <x:v>Tangan &amp; Koordinasi</x:v>
      </x:c>
      <x:c r="I8" s="34" t="str">
        <x:v>Sosial &amp; Emosi</x:v>
      </x:c>
      <x:c r="J8" s="34" t="str">
        <x:v>sensorik</x:v>
      </x:c>
      <x:c r="K8" s="34" t="n">
        <x:v>2</x:v>
      </x:c>
      <x:c r="L8" s="34" t="str">
        <x:v>Tangan caregiver bersih</x:v>
      </x:c>
      <x:c r="M8" s="34" t="str">
        <x:v>Memberi pengalaman sentuhan pada telapak dan jari sekaligus interaksi dekat dengan caregiver.</x:v>
      </x:c>
      <x:c r="N8" s="34" t="str">
        <x:v>Sentuhan sederhana memungkinkan bayi merasakan kontak tanpa memaksakan gerakan.</x:v>
      </x:c>
      <x:c r="O8" s="34" t="str">
        <x:v>1) Pastikan tangan bersih dan hangat. 2) Sentuhkan satu jari ke telapak bayi. 3) Biarkan bayi merespons alami; jangan menarik tangannya.</x:v>
      </x:c>
      <x:c r="P8" s="34" t="str">
        <x:v>Tangan membuka/menutup; menggenggam sesaat; tetap nyaman.</x:v>
      </x:c>
      <x:c r="Q8" s="34" t="str">
        <x:v>Sentuh punggung tangan bila telapak sensitif.</x:v>
      </x:c>
      <x:c r="R8" s="34" t="str">
        <x:v>Gabungkan dengan bicara/senyum.</x:v>
      </x:c>
      <x:c r="S8" s="34" t="str">
        <x:v>Jangan menarik bayi melalui genggaman; kuku caregiver pendek.</x:v>
      </x:c>
      <x:c r="T8" s="34" t="str">
        <x:v>Hentikan bila bayi menarik diri, menangis, atau kulit tampak iritasi.</x:v>
      </x:c>
      <x:c r="U8" s="34" t="str">
        <x:v>Prematur: sentuhan lembut dan mengikuti toleransi.</x:v>
      </x:c>
      <x:c r="V8" s="34" t="str">
        <x:v>SRC_UNICEF_CCD_CARDS; SRC_UNICEF_CCD</x:v>
      </x:c>
      <x:c r="W8" s="34" t="str">
        <x:v>CCD menekankan sentuhan, pegangan lembut, dan kesempatan bayi menyentuh caregiver.</x:v>
      </x:c>
      <x:c r="X8" s="34" t="str">
        <x:v>source_checked</x:v>
      </x:c>
      <x:c r="Y8" s="34" t="str"/>
      <x:c r="Z8" s="34" t="str"/>
      <x:c r="AA8" s="34" t="str">
        <x:v>v0.1</x:v>
      </x:c>
    </x:row>
    <x:row r="9">
      <x:c r="A9" s="34" t="str">
        <x:v>ACT008</x:v>
      </x:c>
      <x:c r="B9" s="34" t="str">
        <x:v>Tangan Bebas Bergerak</x:v>
      </x:c>
      <x:c r="C9" s="34" t="str">
        <x:v>0–3 bulan</x:v>
      </x:c>
      <x:c r="D9" s="34" t="n">
        <x:v>0</x:v>
      </x:c>
      <x:c r="E9" s="34" t="n">
        <x:v>120</x:v>
      </x:c>
      <x:c r="F9" s="34" t="n">
        <x:v>0</x:v>
      </x:c>
      <x:c r="G9" s="34" t="n">
        <x:v>3</x:v>
      </x:c>
      <x:c r="H9" s="34" t="str">
        <x:v>Tangan &amp; Koordinasi</x:v>
      </x:c>
      <x:c r="I9" s="34" t="str">
        <x:v>Gerak Tubuh</x:v>
      </x:c>
      <x:c r="J9" s="34" t="str">
        <x:v>gerak</x:v>
      </x:c>
      <x:c r="K9" s="34" t="n">
        <x:v>4</x:v>
      </x:c>
      <x:c r="L9" s="34" t="str">
        <x:v>Matras aman</x:v>
      </x:c>
      <x:c r="M9" s="34" t="str">
        <x:v>Memberi kesempatan Si Kecil menemukan gerakan tangan secara alami dan memperhatikan tangannya sendiri.</x:v>
      </x:c>
      <x:c r="N9" s="34" t="str">
        <x:v>Gerak bebas memberi pengalaman sensorimotor tanpa diarahkan untuk 'lulus' kemampuan tertentu.</x:v>
      </x:c>
      <x:c r="O9" s="34" t="str">
        <x:v>1) Saat terjaga, baringkan telentang. 2) Pastikan pakaian tidak membatasi lengan. 3) Biarkan tangan bergerak bebas sambil caregiver mengamati.</x:v>
      </x:c>
      <x:c r="P9" s="34" t="str">
        <x:v>Tangan terbuka sesaat; bergerak ke wajah/tengah; melihat tangan.</x:v>
      </x:c>
      <x:c r="Q9" s="34" t="str">
        <x:v>2 menit saja.</x:v>
      </x:c>
      <x:c r="R9" s="34" t="str">
        <x:v>Tambahkan cermin aman di samping pada usia lebih besar.</x:v>
      </x:c>
      <x:c r="S9" s="34" t="str">
        <x:v>Hindari aksesori longgar; selalu diawasi.</x:v>
      </x:c>
      <x:c r="T9" s="34" t="str">
        <x:v>Hentikan jika bayi lelah/tidak nyaman.</x:v>
      </x:c>
      <x:c r="U9" s="34" t="str">
        <x:v>Prematur: lingkungan tenang agar tidak overstimulating.</x:v>
      </x:c>
      <x:c r="V9" s="34" t="str">
        <x:v>SRC_UNICEF_CCD_CARDS; SRC_AAP_MOVEMENT_0_3; SRC_CDC_2M_2026</x:v>
      </x:c>
      <x:c r="W9" s="34" t="str">
        <x:v>Sumber mendukung gerak bebas dan perhatian pada tangan sebagai pengalaman awal.</x:v>
      </x:c>
      <x:c r="X9" s="34" t="str">
        <x:v>source_checked</x:v>
      </x:c>
      <x:c r="Y9" s="34" t="str"/>
      <x:c r="Z9" s="34" t="str"/>
      <x:c r="AA9" s="34" t="str">
        <x:v>v0.1</x:v>
      </x:c>
    </x:row>
    <x:row r="10">
      <x:c r="A10" s="34" t="str">
        <x:v>ACT009</x:v>
      </x:c>
      <x:c r="B10" s="34" t="str">
        <x:v>Tangan Bertemu di Tengah</x:v>
      </x:c>
      <x:c r="C10" s="34" t="str">
        <x:v>1–3 bulan</x:v>
      </x:c>
      <x:c r="D10" s="34" t="n">
        <x:v>31</x:v>
      </x:c>
      <x:c r="E10" s="34" t="n">
        <x:v>120</x:v>
      </x:c>
      <x:c r="F10" s="34" t="n">
        <x:v>1</x:v>
      </x:c>
      <x:c r="G10" s="34" t="n">
        <x:v>3</x:v>
      </x:c>
      <x:c r="H10" s="34" t="str">
        <x:v>Tangan &amp; Koordinasi</x:v>
      </x:c>
      <x:c r="I10" s="34" t="str">
        <x:v>Berpikir &amp; Eksplorasi</x:v>
      </x:c>
      <x:c r="J10" s="34" t="str">
        <x:v>sensorimotor</x:v>
      </x:c>
      <x:c r="K10" s="34" t="n">
        <x:v>3</x:v>
      </x:c>
      <x:c r="L10" s="34" t="str">
        <x:v>Tidak perlu alat</x:v>
      </x:c>
      <x:c r="M10" s="34" t="str">
        <x:v>Memberi kesempatan bayi merasakan kedua tangan di area tengah tubuh dan memperhatikan gerakannya.</x:v>
      </x:c>
      <x:c r="N10" s="34" t="str">
        <x:v>Aktivitas ini adalah pengalaman tubuh, bukan latihan yang harus berhasil.</x:v>
      </x:c>
      <x:c r="O10" s="34" t="str">
        <x:v>1) Bayi telentang dan terjaga. 2) Bila lengan rileks, bantu mendekatkan tangan ke tengah sangat lembut. 3) Lepaskan dan biarkan bergerak sendiri.</x:v>
      </x:c>
      <x:c r="P10" s="34" t="str">
        <x:v>Memperhatikan tangan; tangan di tengah sesaat; membawa tangan ke mulut.</x:v>
      </x:c>
      <x:c r="Q10" s="34" t="str">
        <x:v>Sentuhkan kedua tangan sesaat.</x:v>
      </x:c>
      <x:c r="R10" s="34" t="str">
        <x:v>Biarkan bayi mencoba sendiri setelah beberapa kali.</x:v>
      </x:c>
      <x:c r="S10" s="34" t="str">
        <x:v>Jangan menahan, menarik, atau memaksa rentang gerak.</x:v>
      </x:c>
      <x:c r="T10" s="34" t="str">
        <x:v>Hentikan jika ada resistensi, nyeri, atau tangisan tajam.</x:v>
      </x:c>
      <x:c r="U10" s="34" t="str">
        <x:v>Prematur/medis: hanya gerakan lembut sesuai toleransi.</x:v>
      </x:c>
      <x:c r="V10" s="34" t="str">
        <x:v>SRC_AAP_MOVEMENT_0_3</x:v>
      </x:c>
      <x:c r="W10" s="34" t="str">
        <x:v>AAP menggambarkan meningkatnya perhatian pada tangan dan gerakan menuju tengah/mulut.</x:v>
      </x:c>
      <x:c r="X10" s="34" t="str">
        <x:v>source_checked</x:v>
      </x:c>
      <x:c r="Y10" s="34" t="str"/>
      <x:c r="Z10" s="34" t="str"/>
      <x:c r="AA10" s="34" t="str">
        <x:v>v0.1</x:v>
      </x:c>
    </x:row>
    <x:row r="11">
      <x:c r="A11" s="34" t="str">
        <x:v>ACT010</x:v>
      </x:c>
      <x:c r="B11" s="34" t="str">
        <x:v>Kenalan dengan Tekstur Lembut</x:v>
      </x:c>
      <x:c r="C11" s="34" t="str">
        <x:v>1–3 bulan</x:v>
      </x:c>
      <x:c r="D11" s="34" t="n">
        <x:v>31</x:v>
      </x:c>
      <x:c r="E11" s="34" t="n">
        <x:v>120</x:v>
      </x:c>
      <x:c r="F11" s="34" t="n">
        <x:v>1</x:v>
      </x:c>
      <x:c r="G11" s="34" t="n">
        <x:v>3</x:v>
      </x:c>
      <x:c r="H11" s="34" t="str">
        <x:v>Tangan &amp; Koordinasi</x:v>
      </x:c>
      <x:c r="I11" s="34" t="str">
        <x:v>Berpikir &amp; Eksplorasi</x:v>
      </x:c>
      <x:c r="J11" s="34" t="str">
        <x:v>sensorik</x:v>
      </x:c>
      <x:c r="K11" s="34" t="n">
        <x:v>3</x:v>
      </x:c>
      <x:c r="L11" s="34" t="str">
        <x:v>Kain katun/terry lembut dan bersih</x:v>
      </x:c>
      <x:c r="M11" s="34" t="str">
        <x:v>Memberi pengalaman taktil yang berbeda pada tangan secara aman dan singkat.</x:v>
      </x:c>
      <x:c r="N11" s="34" t="str">
        <x:v>Eksplorasi melalui sentuhan merupakan salah satu cara bayi belajar tentang lingkungan.</x:v>
      </x:c>
      <x:c r="O11" s="34" t="str">
        <x:v>1) Pilih 1–2 kain bersih. 2) Sentuhkan lembut ke punggung/telapak tangan. 3) Sebutkan 'lembut' sambil mengamati respons.</x:v>
      </x:c>
      <x:c r="P11" s="34" t="str">
        <x:v>Membuka tangan; menyentuh/menggenggam; ekspresi tertarik/tidak nyaman.</x:v>
      </x:c>
      <x:c r="Q11" s="34" t="str">
        <x:v>Satu tekstur saja.</x:v>
      </x:c>
      <x:c r="R11" s="34" t="str">
        <x:v>Bandingkan dua tekstur aman.</x:v>
      </x:c>
      <x:c r="S11" s="34" t="str">
        <x:v>Jangan menutup wajah; hindari kain berbulu/rontok; kain tetap dipegang caregiver.</x:v>
      </x:c>
      <x:c r="T11" s="34" t="str">
        <x:v>Hentikan jika kulit kemerahan, distress, atau kain menuju jalan napas.</x:v>
      </x:c>
      <x:c r="U11" s="34" t="str">
        <x:v>Prematur/sensitif: minimalkan rangsang.</x:v>
      </x:c>
      <x:c r="V11" s="34" t="str">
        <x:v>SRC_UNICEF_CCD_CARDS; SRC_UNICEF_CCD</x:v>
      </x:c>
      <x:c r="W11" s="34" t="str">
        <x:v>CCD menekankan melihat, mendengar, merasakan, bergerak dan menyentuh sebagai pengalaman belajar awal.</x:v>
      </x:c>
      <x:c r="X11" s="34" t="str">
        <x:v>source_checked</x:v>
      </x:c>
      <x:c r="Y11" s="34" t="str"/>
      <x:c r="Z11" s="34" t="str"/>
      <x:c r="AA11" s="34" t="str">
        <x:v>v0.1</x:v>
      </x:c>
    </x:row>
    <x:row r="12">
      <x:c r="A12" s="34" t="str">
        <x:v>ACT011</x:v>
      </x:c>
      <x:c r="B12" s="34" t="str">
        <x:v>Raih Benda Besar Berwarna</x:v>
      </x:c>
      <x:c r="C12" s="34" t="str">
        <x:v>2–3 bulan</x:v>
      </x:c>
      <x:c r="D12" s="34" t="n">
        <x:v>61</x:v>
      </x:c>
      <x:c r="E12" s="34" t="n">
        <x:v>120</x:v>
      </x:c>
      <x:c r="F12" s="34" t="n">
        <x:v>2</x:v>
      </x:c>
      <x:c r="G12" s="34" t="n">
        <x:v>3</x:v>
      </x:c>
      <x:c r="H12" s="34" t="str">
        <x:v>Tangan &amp; Koordinasi</x:v>
      </x:c>
      <x:c r="I12" s="34" t="str">
        <x:v>Berpikir &amp; Eksplorasi</x:v>
      </x:c>
      <x:c r="J12" s="34" t="str">
        <x:v>koordinasi</x:v>
      </x:c>
      <x:c r="K12" s="34" t="n">
        <x:v>4</x:v>
      </x:c>
      <x:c r="L12" s="34" t="str">
        <x:v>Benda besar, ringan, bersih, tanpa bagian kecil</x:v>
      </x:c>
      <x:c r="M12" s="34" t="str">
        <x:v>Memberi kesempatan menghubungkan apa yang dilihat dengan gerakan tangan untuk mendekati benda.</x:v>
      </x:c>
      <x:c r="N12" s="34" t="str">
        <x:v>Bayi tidak harus berhasil menggenggam; tujuan adalah melihat, mengarahkan tangan dan mencoba.</x:v>
      </x:c>
      <x:c r="O12" s="34" t="str">
        <x:v>1) Tunjukkan benda dalam jangkauan dekat. 2) Tunggu. 3) Jangan memasukkan benda ke tangan secara paksa.</x:v>
      </x:c>
      <x:c r="P12" s="34" t="str">
        <x:v>Melihat benda; tangan bergerak ke arah benda; menyentuh/menggenggam.</x:v>
      </x:c>
      <x:c r="Q12" s="34" t="str">
        <x:v>Dekatkan sedikit.</x:v>
      </x:c>
      <x:c r="R12" s="34" t="str">
        <x:v>Pindahkan perlahan ke sisi lain.</x:v>
      </x:c>
      <x:c r="S12" s="34" t="str">
        <x:v>Objek besar, tidak tajam, tidak bertali panjang; selalu diawasi.</x:v>
      </x:c>
      <x:c r="T12" s="34" t="str">
        <x:v>Hentikan jika lelah/distress atau objek mengenai wajah.</x:v>
      </x:c>
      <x:c r="U12" s="34" t="str">
        <x:v>Prematur: sesuaikan corrected age dan toleransi.</x:v>
      </x:c>
      <x:c r="V12" s="34" t="str">
        <x:v>SRC_UNICEF_CCD_CARDS; SRC_UNICEF_CCD; SRC_KIA_2024</x:v>
      </x:c>
      <x:c r="W12" s="34" t="str">
        <x:v>CCD menganjurkan benda berwarna untuk dilihat/diraih; KIA mendukung melihat/meraih pada fase berikutnya.</x:v>
      </x:c>
      <x:c r="X12" s="34" t="str">
        <x:v>source_checked</x:v>
      </x:c>
      <x:c r="Y12" s="34" t="str"/>
      <x:c r="Z12" s="34" t="str"/>
      <x:c r="AA12" s="34" t="str">
        <x:v>v0.1</x:v>
      </x:c>
    </x:row>
    <x:row r="13">
      <x:c r="A13" s="34" t="str">
        <x:v>ACT012</x:v>
      </x:c>
      <x:c r="B13" s="34" t="str">
        <x:v>Raih Wajah/Mainan Saat Tummy Time</x:v>
      </x:c>
      <x:c r="C13" s="34" t="str">
        <x:v>3 bulan</x:v>
      </x:c>
      <x:c r="D13" s="34" t="n">
        <x:v>91</x:v>
      </x:c>
      <x:c r="E13" s="34" t="n">
        <x:v>120</x:v>
      </x:c>
      <x:c r="F13" s="34" t="n">
        <x:v>3</x:v>
      </x:c>
      <x:c r="G13" s="34" t="n">
        <x:v>3</x:v>
      </x:c>
      <x:c r="H13" s="34" t="str">
        <x:v>Tangan &amp; Koordinasi</x:v>
      </x:c>
      <x:c r="I13" s="34" t="str">
        <x:v>Gerak Tubuh</x:v>
      </x:c>
      <x:c r="J13" s="34" t="str">
        <x:v>koordinasi</x:v>
      </x:c>
      <x:c r="K13" s="34" t="n">
        <x:v>3</x:v>
      </x:c>
      <x:c r="L13" s="34" t="str">
        <x:v>Wajah caregiver atau mainan besar aman</x:v>
      </x:c>
      <x:c r="M13" s="34" t="str">
        <x:v>Memberi kesempatan menggabungkan kontrol tubuh bagian atas dengan upaya menjangkau target menarik.</x:v>
      </x:c>
      <x:c r="N13" s="34" t="str">
        <x:v>Ini kesempatan eksplorasi, bukan target wajib.</x:v>
      </x:c>
      <x:c r="O13" s="34" t="str">
        <x:v>1) Saat tummy time nyaman, tempatkan wajah/mainan sedikit di depan. 2) Tunggu bayi melihat. 3) Biarkan bayi mencoba menggerakkan tangan.</x:v>
      </x:c>
      <x:c r="P13" s="34" t="str">
        <x:v>Menahan kepala sesaat; menggeser berat; tangan bergerak ke target.</x:v>
      </x:c>
      <x:c r="Q13" s="34" t="str">
        <x:v>Gunakan wajah caregiver lebih dekat.</x:v>
      </x:c>
      <x:c r="R13" s="34" t="str">
        <x:v>Gunakan mainan dengan jarak sedikit berbeda.</x:v>
      </x:c>
      <x:c r="S13" s="34" t="str">
        <x:v>Awake + supervised; jangan benda kecil; jangan memaksa menopang satu lengan.</x:v>
      </x:c>
      <x:c r="T13" s="34" t="str">
        <x:v>Hentikan bila kepala jatuh berulang karena lelah, distress, atau napas tidak nyaman.</x:v>
      </x:c>
      <x:c r="U13" s="34" t="str">
        <x:v>Prematur: gunakan usia koreksi dan hanya jika tummy time ditoleransi.</x:v>
      </x:c>
      <x:c r="V13" s="34" t="str">
        <x:v>SRC_AAP_TUMMY; SRC_KIA_2024</x:v>
      </x:c>
      <x:c r="W13" s="34" t="str">
        <x:v>AAP memasukkan reaching saat tummy play; KIA 3–6 bulan mencakup melihat dan meraih.</x:v>
      </x:c>
      <x:c r="X13" s="34" t="str">
        <x:v>source_checked</x:v>
      </x:c>
      <x:c r="Y13" s="34" t="str"/>
      <x:c r="Z13" s="34" t="str"/>
      <x:c r="AA13" s="34" t="str">
        <x:v>v0.1</x:v>
      </x:c>
    </x:row>
    <x:row r="14">
      <x:c r="A14" s="34" t="str">
        <x:v>ACT013</x:v>
      </x:c>
      <x:c r="B14" s="34" t="str">
        <x:v>Bicara Saat Menyusui/Memberi Susu</x:v>
      </x:c>
      <x:c r="C14" s="34" t="str">
        <x:v>0–3 bulan</x:v>
      </x:c>
      <x:c r="D14" s="34" t="n">
        <x:v>0</x:v>
      </x:c>
      <x:c r="E14" s="34" t="n">
        <x:v>120</x:v>
      </x:c>
      <x:c r="F14" s="34" t="n">
        <x:v>0</x:v>
      </x:c>
      <x:c r="G14" s="34" t="n">
        <x:v>3</x:v>
      </x:c>
      <x:c r="H14" s="34" t="str">
        <x:v>Bahasa &amp; Komunikasi</x:v>
      </x:c>
      <x:c r="I14" s="34" t="str">
        <x:v>Sosial &amp; Emosi</x:v>
      </x:c>
      <x:c r="J14" s="34" t="str">
        <x:v>komunikasi</x:v>
      </x:c>
      <x:c r="K14" s="34" t="n">
        <x:v>5</x:v>
      </x:c>
      <x:c r="L14" s="34" t="str">
        <x:v>Tidak perlu alat</x:v>
      </x:c>
      <x:c r="M14" s="34" t="str">
        <x:v>Memberi paparan suara dan bahasa dalam rutinitas familiar sekaligus memperkuat interaksi responsif.</x:v>
      </x:c>
      <x:c r="N14" s="34" t="str">
        <x:v>Komunikasi dapat dimulai sejak lahir dan tidak perlu menunggu bayi bisa bicara.</x:v>
      </x:c>
      <x:c r="O14" s="34" t="str">
        <x:v>1) Saat bayi tenang saat minum, lihat wajah bila memungkinkan. 2) Bicara lembut dengan kalimat pendek. 3) Ikuti isyarat bayi.</x:v>
      </x:c>
      <x:c r="P14" s="34" t="str">
        <x:v>Perhatian pada suara; perubahan ekspresi; suara balasan.</x:v>
      </x:c>
      <x:c r="Q14" s="34" t="str">
        <x:v>Beberapa kalimat saja.</x:v>
      </x:c>
      <x:c r="R14" s="34" t="str">
        <x:v>Tambahkan nama kegiatan/anggota keluarga.</x:v>
      </x:c>
      <x:c r="S14" s="34" t="str">
        <x:v>Prioritaskan proses minum aman; jangan mengalihkan bila kesulitan menyusu/menelan.</x:v>
      </x:c>
      <x:c r="T14" s="34" t="str">
        <x:v>Hentikan bila tersedak, batuk saat minum, lelah, atau perlu fokus menyusu.</x:v>
      </x:c>
      <x:c r="U14" s="34" t="str">
        <x:v>Jika ada masalah feeding/prematur, ikuti tenaga kesehatan.</x:v>
      </x:c>
      <x:c r="V14" s="34" t="str">
        <x:v>SRC_UNICEF_CCD_CARDS; SRC_CDC_2M_2026</x:v>
      </x:c>
      <x:c r="W14" s="34" t="str">
        <x:v>CCD mendorong eye contact dan talk saat feeding; CDC mendorong talk/play during routines.</x:v>
      </x:c>
      <x:c r="X14" s="34" t="str">
        <x:v>source_checked</x:v>
      </x:c>
      <x:c r="Y14" s="34" t="str"/>
      <x:c r="Z14" s="34" t="str"/>
      <x:c r="AA14" s="34" t="str">
        <x:v>v0.1</x:v>
      </x:c>
    </x:row>
    <x:row r="15">
      <x:c r="A15" s="34" t="str">
        <x:v>ACT014</x:v>
      </x:c>
      <x:c r="B15" s="34" t="str">
        <x:v>Ceritakan Rutinitas Sehari-hari</x:v>
      </x:c>
      <x:c r="C15" s="34" t="str">
        <x:v>0–3 bulan</x:v>
      </x:c>
      <x:c r="D15" s="34" t="n">
        <x:v>0</x:v>
      </x:c>
      <x:c r="E15" s="34" t="n">
        <x:v>120</x:v>
      </x:c>
      <x:c r="F15" s="34" t="n">
        <x:v>0</x:v>
      </x:c>
      <x:c r="G15" s="34" t="n">
        <x:v>3</x:v>
      </x:c>
      <x:c r="H15" s="34" t="str">
        <x:v>Bahasa &amp; Komunikasi</x:v>
      </x:c>
      <x:c r="I15" s="34" t="str">
        <x:v>Berpikir &amp; Eksplorasi</x:v>
      </x:c>
      <x:c r="J15" s="34" t="str">
        <x:v>komunikasi</x:v>
      </x:c>
      <x:c r="K15" s="34" t="n">
        <x:v>4</x:v>
      </x:c>
      <x:c r="L15" s="34" t="str">
        <x:v>Tidak perlu alat</x:v>
      </x:c>
      <x:c r="M15" s="34" t="str">
        <x:v>Memberi paparan bahasa yang konsisten dengan kejadian nyata dalam rutinitas harian.</x:v>
      </x:c>
      <x:c r="N15" s="34" t="str">
        <x:v>Bahasa dapat hadir alami ketika mengganti popok, berpakaian, atau mandi.</x:v>
      </x:c>
      <x:c r="O15" s="34" t="str">
        <x:v>1) Ceritakan singkat apa yang sedang dilakukan. 2) Gunakan suara hangat. 3) Beri jeda bila bayi bersuara.</x:v>
      </x:c>
      <x:c r="P15" s="34" t="str">
        <x:v>Perhatian pada suara; ekspresi; suara balasan.</x:v>
      </x:c>
      <x:c r="Q15" s="34" t="str">
        <x:v>1–2 kalimat sederhana.</x:v>
      </x:c>
      <x:c r="R15" s="34" t="str">
        <x:v>Ulangi kata yang sama pada rutinitas yang sama.</x:v>
      </x:c>
      <x:c r="S15" s="34" t="str">
        <x:v>Jangan terlalu fokus bicara sampai mengabaikan posisi/keselamatan bayi.</x:v>
      </x:c>
      <x:c r="T15" s="34" t="str">
        <x:v>Hentikan bila bayi distress dan perlu ditenangkan.</x:v>
      </x:c>
      <x:c r="U15" s="34" t="str">
        <x:v>Prematur: suara lembut, hindari overstimulation.</x:v>
      </x:c>
      <x:c r="V15" s="34" t="str">
        <x:v>SRC_CDC_2M_2026; SRC_UNICEF_CCD</x:v>
      </x:c>
      <x:c r="W15" s="34" t="str">
        <x:v>CDC: talk/play saat feeding, dressing, bathing; CCD: komunikasi sejak lahir.</x:v>
      </x:c>
      <x:c r="X15" s="34" t="str">
        <x:v>source_checked</x:v>
      </x:c>
      <x:c r="Y15" s="34" t="str"/>
      <x:c r="Z15" s="34" t="str"/>
      <x:c r="AA15" s="34" t="str">
        <x:v>v0.1</x:v>
      </x:c>
    </x:row>
    <x:row r="16">
      <x:c r="A16" s="34" t="str">
        <x:v>ACT015</x:v>
      </x:c>
      <x:c r="B16" s="34" t="str">
        <x:v>Nyanyikan Lagu Lembut</x:v>
      </x:c>
      <x:c r="C16" s="34" t="str">
        <x:v>0–3 bulan</x:v>
      </x:c>
      <x:c r="D16" s="34" t="n">
        <x:v>0</x:v>
      </x:c>
      <x:c r="E16" s="34" t="n">
        <x:v>120</x:v>
      </x:c>
      <x:c r="F16" s="34" t="n">
        <x:v>0</x:v>
      </x:c>
      <x:c r="G16" s="34" t="n">
        <x:v>3</x:v>
      </x:c>
      <x:c r="H16" s="34" t="str">
        <x:v>Bahasa &amp; Komunikasi</x:v>
      </x:c>
      <x:c r="I16" s="34" t="str">
        <x:v>Sosial &amp; Emosi</x:v>
      </x:c>
      <x:c r="J16" s="34" t="str">
        <x:v>komunikasi</x:v>
      </x:c>
      <x:c r="K16" s="34" t="n">
        <x:v>4</x:v>
      </x:c>
      <x:c r="L16" s="34" t="str">
        <x:v>Tidak perlu alat</x:v>
      </x:c>
      <x:c r="M16" s="34" t="str">
        <x:v>Memberi pengalaman pola suara, ritme dan intonasi sambil berinteraksi dengan caregiver.</x:v>
      </x:c>
      <x:c r="N16" s="34" t="str">
        <x:v>Bernyanyi adalah bentuk komunikasi sederhana yang dapat dilakukan sejak awal kehidupan.</x:v>
      </x:c>
      <x:c r="O16" s="34" t="str">
        <x:v>1) Posisikan bayi aman. 2) Nyanyikan lagu pendek dengan volume lembut. 3) Jeda dan amati respons.</x:v>
      </x:c>
      <x:c r="P16" s="34" t="str">
        <x:v>Menatap wajah; lebih tenang; bergerak; mengeluarkan suara.</x:v>
      </x:c>
      <x:c r="Q16" s="34" t="str">
        <x:v>Satu bait.</x:v>
      </x:c>
      <x:c r="R16" s="34" t="str">
        <x:v>Ulangi lagu yang sama pada rutinitas tertentu.</x:v>
      </x:c>
      <x:c r="S16" s="34" t="str">
        <x:v>Jaga volume rendah; jangan sangat dekat ke telinga.</x:v>
      </x:c>
      <x:c r="T16" s="34" t="str">
        <x:v>Hentikan bila overstimulated atau ingin tidur/makan.</x:v>
      </x:c>
      <x:c r="U16" s="34" t="str">
        <x:v>Prematur: volume lembut dan durasi singkat.</x:v>
      </x:c>
      <x:c r="V16" s="34" t="str">
        <x:v>SRC_CDC_2M_2026; SRC_AAP_ACTIVITY_0_3; SRC_UNICEF_CCD</x:v>
      </x:c>
      <x:c r="W16" s="34" t="str">
        <x:v>CDC/AAP mendorong talking, reading, singing; CCD komunikasi responsif.</x:v>
      </x:c>
      <x:c r="X16" s="34" t="str">
        <x:v>source_checked</x:v>
      </x:c>
      <x:c r="Y16" s="34" t="str"/>
      <x:c r="Z16" s="34" t="str"/>
      <x:c r="AA16" s="34" t="str">
        <x:v>v0.1</x:v>
      </x:c>
    </x:row>
    <x:row r="17">
      <x:c r="A17" s="34" t="str">
        <x:v>ACT016</x:v>
      </x:c>
      <x:c r="B17" s="34" t="str">
        <x:v>Tiru Suara Si Kecil</x:v>
      </x:c>
      <x:c r="C17" s="34" t="str">
        <x:v>1–3 bulan</x:v>
      </x:c>
      <x:c r="D17" s="34" t="n">
        <x:v>31</x:v>
      </x:c>
      <x:c r="E17" s="34" t="n">
        <x:v>120</x:v>
      </x:c>
      <x:c r="F17" s="34" t="n">
        <x:v>1</x:v>
      </x:c>
      <x:c r="G17" s="34" t="n">
        <x:v>3</x:v>
      </x:c>
      <x:c r="H17" s="34" t="str">
        <x:v>Bahasa &amp; Komunikasi</x:v>
      </x:c>
      <x:c r="I17" s="34" t="str">
        <x:v>Sosial &amp; Emosi</x:v>
      </x:c>
      <x:c r="J17" s="34" t="str">
        <x:v>komunikasi</x:v>
      </x:c>
      <x:c r="K17" s="34" t="n">
        <x:v>4</x:v>
      </x:c>
      <x:c r="L17" s="34" t="str">
        <x:v>Tidak perlu alat</x:v>
      </x:c>
      <x:c r="M17" s="34" t="str">
        <x:v>Memberi pengalaman percakapan dua arah awal: suara Si Kecil mendapat respons dari caregiver.</x:v>
      </x:c>
      <x:c r="N17" s="34" t="str">
        <x:v>Meniru cooing membantu caregiver memperhatikan sinyal dan membuka pola turn-taking.</x:v>
      </x:c>
      <x:c r="O17" s="34" t="str">
        <x:v>1) Tunggu bayi bersuara. 2) Tiru lembut. 3) Berhenti dan tunggu respons berikutnya.</x:v>
      </x:c>
      <x:c r="P17" s="34" t="str">
        <x:v>Suara balasan; perhatian pada wajah; jeda bergantian.</x:v>
      </x:c>
      <x:c r="Q17" s="34" t="str">
        <x:v>Tiru satu suara.</x:v>
      </x:c>
      <x:c r="R17" s="34" t="str">
        <x:v>Tambahkan satu variasi sederhana setelah respons.</x:v>
      </x:c>
      <x:c r="S17" s="34" t="str">
        <x:v>Jangan membuat suara keras mendadak.</x:v>
      </x:c>
      <x:c r="T17" s="34" t="str">
        <x:v>Hentikan bila bayi memalingkan wajah terus/lelah.</x:v>
      </x:c>
      <x:c r="U17" s="34" t="str">
        <x:v>Prematur: ikuti quiet-alert state.</x:v>
      </x:c>
      <x:c r="V17" s="34" t="str">
        <x:v>SRC_UNICEF_CCD_CARDS; SRC_CDC_2M_2026</x:v>
      </x:c>
      <x:c r="W17" s="34" t="str">
        <x:v>CCD menyarankan copying sounds/gestures; CDC juga menyarankan copy sounds.</x:v>
      </x:c>
      <x:c r="X17" s="34" t="str">
        <x:v>source_checked</x:v>
      </x:c>
      <x:c r="Y17" s="34" t="str"/>
      <x:c r="Z17" s="34" t="str"/>
      <x:c r="AA17" s="34" t="str">
        <x:v>v0.1</x:v>
      </x:c>
    </x:row>
    <x:row r="18">
      <x:c r="A18" s="34" t="str">
        <x:v>ACT017</x:v>
      </x:c>
      <x:c r="B18" s="34" t="str">
        <x:v>Percakapan Jeda–Balasan</x:v>
      </x:c>
      <x:c r="C18" s="34" t="str">
        <x:v>2–3 bulan</x:v>
      </x:c>
      <x:c r="D18" s="34" t="n">
        <x:v>61</x:v>
      </x:c>
      <x:c r="E18" s="34" t="n">
        <x:v>120</x:v>
      </x:c>
      <x:c r="F18" s="34" t="n">
        <x:v>2</x:v>
      </x:c>
      <x:c r="G18" s="34" t="n">
        <x:v>3</x:v>
      </x:c>
      <x:c r="H18" s="34" t="str">
        <x:v>Bahasa &amp; Komunikasi</x:v>
      </x:c>
      <x:c r="I18" s="34" t="str">
        <x:v>Sosial &amp; Emosi</x:v>
      </x:c>
      <x:c r="J18" s="34" t="str">
        <x:v>komunikasi</x:v>
      </x:c>
      <x:c r="K18" s="34" t="n">
        <x:v>5</x:v>
      </x:c>
      <x:c r="L18" s="34" t="str">
        <x:v>Tidak perlu alat</x:v>
      </x:c>
      <x:c r="M18" s="34" t="str">
        <x:v>Memberi kesempatan mengalami giliran dalam interaksi dan caregiver belajar menunggu sinyal bayi.</x:v>
      </x:c>
      <x:c r="N18" s="34" t="str">
        <x:v>Turn-taking vokal adalah bentuk awal komunikasi responsif.</x:v>
      </x:c>
      <x:c r="O18" s="34" t="str">
        <x:v>1) Bicara satu kalimat pendek. 2) Tunggu 3–5 detik. 3) Jika bayi bersuara/bergerak, balas.</x:v>
      </x:c>
      <x:c r="P18" s="34" t="str">
        <x:v>Suara balasan; senyum; gerak; fokus wajah.</x:v>
      </x:c>
      <x:c r="Q18" s="34" t="str">
        <x:v>Gunakan kata pendek seperti 'halo'.</x:v>
      </x:c>
      <x:c r="R18" s="34" t="str">
        <x:v>Ikuti suara bayi dan beri variasi kecil.</x:v>
      </x:c>
      <x:c r="S18" s="34" t="str">
        <x:v>Jangan terus bicara tanpa jeda jika bayi tampak kewalahan.</x:v>
      </x:c>
      <x:c r="T18" s="34" t="str">
        <x:v>Hentikan jika mengantuk, rewel, atau memalingkan diri berulang.</x:v>
      </x:c>
      <x:c r="U18" s="34" t="str">
        <x:v>Prematur: pilih waktu tenang dan terjaga.</x:v>
      </x:c>
      <x:c r="V18" s="34" t="str">
        <x:v>SRC_UNICEF_CCD_CARDS; SRC_CDC_2M_2026</x:v>
      </x:c>
      <x:c r="W18" s="34" t="str">
        <x:v>Responsive communication menekankan respons pada suara/gesture dan bergiliran.</x:v>
      </x:c>
      <x:c r="X18" s="34" t="str">
        <x:v>source_checked</x:v>
      </x:c>
      <x:c r="Y18" s="34" t="str"/>
      <x:c r="Z18" s="34" t="str"/>
      <x:c r="AA18" s="34" t="str">
        <x:v>v0.1</x:v>
      </x:c>
    </x:row>
    <x:row r="19">
      <x:c r="A19" s="34" t="str">
        <x:v>ACT018</x:v>
      </x:c>
      <x:c r="B19" s="34" t="str">
        <x:v>Lihat Buku/Gambar Sambil Bercerita</x:v>
      </x:c>
      <x:c r="C19" s="34" t="str">
        <x:v>1–3 bulan</x:v>
      </x:c>
      <x:c r="D19" s="34" t="n">
        <x:v>31</x:v>
      </x:c>
      <x:c r="E19" s="34" t="n">
        <x:v>120</x:v>
      </x:c>
      <x:c r="F19" s="34" t="n">
        <x:v>1</x:v>
      </x:c>
      <x:c r="G19" s="34" t="n">
        <x:v>3</x:v>
      </x:c>
      <x:c r="H19" s="34" t="str">
        <x:v>Bahasa &amp; Komunikasi</x:v>
      </x:c>
      <x:c r="I19" s="34" t="str">
        <x:v>Berpikir &amp; Eksplorasi</x:v>
      </x:c>
      <x:c r="J19" s="34" t="str">
        <x:v>komunikasi</x:v>
      </x:c>
      <x:c r="K19" s="34" t="n">
        <x:v>5</x:v>
      </x:c>
      <x:c r="L19" s="34" t="str">
        <x:v>Board book/gambar wajah atau warna kontras</x:v>
      </x:c>
      <x:c r="M19" s="34" t="str">
        <x:v>Menggabungkan paparan bahasa dengan kesempatan memperhatikan wajah, bentuk, dan warna sederhana.</x:v>
      </x:c>
      <x:c r="N19" s="34" t="str">
        <x:v>Pada usia ini membaca berarti melihat gambar dan mendengar suara caregiver, bukan memahami cerita panjang.</x:v>
      </x:c>
      <x:c r="O19" s="34" t="str">
        <x:v>1) Pegang bayi aman. 2) Tunjukkan satu gambar. 3) Sebutkan apa yang terlihat. 4) Berhenti bila kehilangan minat.</x:v>
      </x:c>
      <x:c r="P19" s="34" t="str">
        <x:v>Menatap gambar; berganti pandang; suara/gerak respons.</x:v>
      </x:c>
      <x:c r="Q19" s="34" t="str">
        <x:v>Satu halaman.</x:v>
      </x:c>
      <x:c r="R19" s="34" t="str">
        <x:v>Gunakan gambar wajah atau warna cerah.</x:v>
      </x:c>
      <x:c r="S19" s="34" t="str">
        <x:v>Buku tanpa bagian lepas/tajam; jangan diletakkan di atas wajah bayi.</x:v>
      </x:c>
      <x:c r="T19" s="34" t="str">
        <x:v>Hentikan bila kehilangan minat/lelah.</x:v>
      </x:c>
      <x:c r="U19" s="34" t="str">
        <x:v>Prematur: visual sederhana, durasi pendek.</x:v>
      </x:c>
      <x:c r="V19" s="34" t="str">
        <x:v>SRC_CDC_2M_2026; SRC_UNICEF_CCD</x:v>
      </x:c>
      <x:c r="W19" s="34" t="str">
        <x:v>CDC menyarankan talk/read/sing dan melihat gambar warna cerah/wajah.</x:v>
      </x:c>
      <x:c r="X19" s="34" t="str">
        <x:v>source_checked</x:v>
      </x:c>
      <x:c r="Y19" s="34" t="str"/>
      <x:c r="Z19" s="34" t="str"/>
      <x:c r="AA19" s="34" t="str">
        <x:v>v0.1</x:v>
      </x:c>
    </x:row>
    <x:row r="20">
      <x:c r="A20" s="34" t="str">
        <x:v>ACT019</x:v>
      </x:c>
      <x:c r="B20" s="34" t="str">
        <x:v>Skin-to-Skin Saat Terjaga</x:v>
      </x:c>
      <x:c r="C20" s="34" t="str">
        <x:v>0–1 bulan</x:v>
      </x:c>
      <x:c r="D20" s="34" t="n">
        <x:v>0</x:v>
      </x:c>
      <x:c r="E20" s="34" t="n">
        <x:v>60</x:v>
      </x:c>
      <x:c r="F20" s="34" t="n">
        <x:v>0</x:v>
      </x:c>
      <x:c r="G20" s="34" t="n">
        <x:v>1</x:v>
      </x:c>
      <x:c r="H20" s="34" t="str">
        <x:v>Sosial &amp; Emosi</x:v>
      </x:c>
      <x:c r="I20" s="34" t="str">
        <x:v>Bahasa &amp; Komunikasi</x:v>
      </x:c>
      <x:c r="J20" s="34" t="str">
        <x:v>responsif</x:v>
      </x:c>
      <x:c r="K20" s="34" t="n">
        <x:v>10</x:v>
      </x:c>
      <x:c r="L20" s="34" t="str">
        <x:v>Kulit caregiver; kain untuk kehangatan sesuai kebutuhan</x:v>
      </x:c>
      <x:c r="M20" s="34" t="str">
        <x:v>Mendukung kedekatan, kenyamanan, dan kesempatan caregiver merespons sinyal bayi dari jarak dekat.</x:v>
      </x:c>
      <x:c r="N20" s="34" t="str">
        <x:v>Skin-to-skin adalah salah satu bentuk kontak awal dalam Care for Child Development.</x:v>
      </x:c>
      <x:c r="O20" s="34" t="str">
        <x:v>1) Caregiver terjaga dan posisi aman. 2) Letakkan bayi di dada dengan jalan napas bebas. 3) Sentuh/bicara lembut dan amati isyarat.</x:v>
      </x:c>
      <x:c r="P20" s="34" t="str">
        <x:v>Lebih tenang; menatap; bergerak mendekat; respons suara.</x:v>
      </x:c>
      <x:c r="Q20" s="34" t="str">
        <x:v>Mulai beberapa menit.</x:v>
      </x:c>
      <x:c r="R20" s="34" t="str">
        <x:v>Gabungkan bicara/nyanyi lembut.</x:v>
      </x:c>
      <x:c r="S20" s="34" t="str">
        <x:v>Caregiver harus terjaga; jalan napas bebas; cegah bayi tergelincir.</x:v>
      </x:c>
      <x:c r="T20" s="34" t="str">
        <x:v>Hentikan bila caregiver mengantuk atau bayi tampak sulit bernapas/berubah warna.</x:v>
      </x:c>
      <x:c r="U20" s="34" t="str">
        <x:v>Prematur dapat memerlukan panduan kangaroo care khusus; ikuti tenaga kesehatan.</x:v>
      </x:c>
      <x:c r="V20" s="34" t="str">
        <x:v>SRC_UNICEF_CCD_CARDS; SRC_WHO_ECD_2020</x:v>
      </x:c>
      <x:c r="W20" s="34" t="str">
        <x:v>CCD menyebut skin-to-skin sebagai interaksi baik sejak lahir; WHO menekankan responsive caregiving.</x:v>
      </x:c>
      <x:c r="X20" s="34" t="str">
        <x:v>source_checked</x:v>
      </x:c>
      <x:c r="Y20" s="34" t="str"/>
      <x:c r="Z20" s="34" t="str"/>
      <x:c r="AA20" s="34" t="str">
        <x:v>v0.1</x:v>
      </x:c>
    </x:row>
    <x:row r="21">
      <x:c r="A21" s="34" t="str">
        <x:v>ACT020</x:v>
      </x:c>
      <x:c r="B21" s="34" t="str">
        <x:v>Tatap, Senyum, Lalu Jeda</x:v>
      </x:c>
      <x:c r="C21" s="34" t="str">
        <x:v>0–3 bulan</x:v>
      </x:c>
      <x:c r="D21" s="34" t="n">
        <x:v>0</x:v>
      </x:c>
      <x:c r="E21" s="34" t="n">
        <x:v>120</x:v>
      </x:c>
      <x:c r="F21" s="34" t="n">
        <x:v>0</x:v>
      </x:c>
      <x:c r="G21" s="34" t="n">
        <x:v>3</x:v>
      </x:c>
      <x:c r="H21" s="34" t="str">
        <x:v>Sosial &amp; Emosi</x:v>
      </x:c>
      <x:c r="I21" s="34" t="str">
        <x:v>Bahasa &amp; Komunikasi</x:v>
      </x:c>
      <x:c r="J21" s="34" t="str">
        <x:v>responsif</x:v>
      </x:c>
      <x:c r="K21" s="34" t="n">
        <x:v>3</x:v>
      </x:c>
      <x:c r="L21" s="34" t="str">
        <x:v>Tidak perlu alat</x:v>
      </x:c>
      <x:c r="M21" s="34" t="str">
        <x:v>Memberi kesempatan bayi memperhatikan wajah dan mengalami respons sosial yang tidak terburu-buru.</x:v>
      </x:c>
      <x:c r="N21" s="34" t="str">
        <x:v>Interaksi wajah-ke-wajah dan respons terhadap sinyal merupakan inti responsive caregiving.</x:v>
      </x:c>
      <x:c r="O21" s="34" t="str">
        <x:v>1) Saat bayi tenang, dekatkan wajah pada jarak nyaman. 2) Senyum/bicara singkat. 3) Jeda.</x:v>
      </x:c>
      <x:c r="P21" s="34" t="str">
        <x:v>Menatap; perubahan ekspresi; senyum; suara/gerak.</x:v>
      </x:c>
      <x:c r="Q21" s="34" t="str">
        <x:v>30–60 detik.</x:v>
      </x:c>
      <x:c r="R21" s="34" t="str">
        <x:v>Tiru ekspresi/suara bayi.</x:v>
      </x:c>
      <x:c r="S21" s="34" t="str">
        <x:v>Jangan memaksa kontak mata; beri jeda jika memalingkan wajah.</x:v>
      </x:c>
      <x:c r="T21" s="34" t="str">
        <x:v>Hentikan bila tanda lelah/overstimulation.</x:v>
      </x:c>
      <x:c r="U21" s="34" t="str">
        <x:v>Prematur: durasi singkat dan ikuti cue bayi.</x:v>
      </x:c>
      <x:c r="V21" s="34" t="str">
        <x:v>SRC_UNICEF_CCD_CARDS; SRC_CDC_2M_2026; SRC_WHO_ECD_2020</x:v>
      </x:c>
      <x:c r="W21" s="34" t="str">
        <x:v>CDC: looking at face/social response; WHO/UNICEF: responsive interaction.</x:v>
      </x:c>
      <x:c r="X21" s="34" t="str">
        <x:v>source_checked</x:v>
      </x:c>
      <x:c r="Y21" s="34" t="str"/>
      <x:c r="Z21" s="34" t="str"/>
      <x:c r="AA21" s="34" t="str">
        <x:v>v0.1</x:v>
      </x:c>
    </x:row>
    <x:row r="22">
      <x:c r="A22" s="34" t="str">
        <x:v>ACT021</x:v>
      </x:c>
      <x:c r="B22" s="34" t="str">
        <x:v>Peluk dan Tenangkan Sesuai Isyarat</x:v>
      </x:c>
      <x:c r="C22" s="34" t="str">
        <x:v>0–3 bulan</x:v>
      </x:c>
      <x:c r="D22" s="34" t="n">
        <x:v>0</x:v>
      </x:c>
      <x:c r="E22" s="34" t="n">
        <x:v>120</x:v>
      </x:c>
      <x:c r="F22" s="34" t="n">
        <x:v>0</x:v>
      </x:c>
      <x:c r="G22" s="34" t="n">
        <x:v>3</x:v>
      </x:c>
      <x:c r="H22" s="34" t="str">
        <x:v>Sosial &amp; Emosi</x:v>
      </x:c>
      <x:c r="I22" s="34" t="str">
        <x:v>Bahasa &amp; Komunikasi</x:v>
      </x:c>
      <x:c r="J22" s="34" t="str">
        <x:v>responsif</x:v>
      </x:c>
      <x:c r="K22" s="34" t="n">
        <x:v>5</x:v>
      </x:c>
      <x:c r="L22" s="34" t="str">
        <x:v>Tidak perlu alat</x:v>
      </x:c>
      <x:c r="M22" s="34" t="str">
        <x:v>Membantu caregiver belajar membaca sinyal Si Kecil dan merespons dengan cara yang menenangkan.</x:v>
      </x:c>
      <x:c r="N22" s="34" t="str">
        <x:v>Responsive caregiving berarti memperhatikan, memahami, dan merespons sinyal anak secara tepat waktu.</x:v>
      </x:c>
      <x:c r="O22" s="34" t="str">
        <x:v>1) Saat rewel, cek kebutuhan dasar. 2) Bicara lembut, gendong/rocking perlahan bila sesuai. 3) Perhatikan mana yang menenangkan.</x:v>
      </x:c>
      <x:c r="P22" s="34" t="str">
        <x:v>Lebih tenang; perubahan tangisan; relaksasi tubuh.</x:v>
      </x:c>
      <x:c r="Q22" s="34" t="str">
        <x:v>Suara lembut tanpa banyak gerak.</x:v>
      </x:c>
      <x:c r="R22" s="34" t="str">
        <x:v>Tambahkan lagu bila bayi menyukainya.</x:v>
      </x:c>
      <x:c r="S22" s="34" t="str">
        <x:v>Jangan mengguncang bayi; dukung kepala/leher.</x:v>
      </x:c>
      <x:c r="T22" s="34" t="str">
        <x:v>Jika tangisan disertai tanda sakit/sesak/demam/perubahan warna atau caregiver khawatir, cari bantuan kesehatan.</x:v>
      </x:c>
      <x:c r="U22" s="34" t="str">
        <x:v>Prematur/medis: sesuaikan kebutuhan klinis.</x:v>
      </x:c>
      <x:c r="V22" s="34" t="str">
        <x:v>SRC_WHO_ECD_2020; SRC_CDC_2M_2026; SRC_UNICEF_CCD</x:v>
      </x:c>
      <x:c r="W22" s="34" t="str">
        <x:v>WHO responsive caregiving; CDC menyarankan talking softly, holding, rocking atau singing to calm.</x:v>
      </x:c>
      <x:c r="X22" s="34" t="str">
        <x:v>source_checked</x:v>
      </x:c>
      <x:c r="Y22" s="34" t="str"/>
      <x:c r="Z22" s="34" t="str"/>
      <x:c r="AA22" s="34" t="str">
        <x:v>v0.1</x:v>
      </x:c>
    </x:row>
    <x:row r="23">
      <x:c r="A23" s="34" t="str">
        <x:v>ACT022</x:v>
      </x:c>
      <x:c r="B23" s="34" t="str">
        <x:v>Lihat Cermin Aman Bersama</x:v>
      </x:c>
      <x:c r="C23" s="34" t="str">
        <x:v>2–3 bulan</x:v>
      </x:c>
      <x:c r="D23" s="34" t="n">
        <x:v>61</x:v>
      </x:c>
      <x:c r="E23" s="34" t="n">
        <x:v>120</x:v>
      </x:c>
      <x:c r="F23" s="34" t="n">
        <x:v>2</x:v>
      </x:c>
      <x:c r="G23" s="34" t="n">
        <x:v>3</x:v>
      </x:c>
      <x:c r="H23" s="34" t="str">
        <x:v>Sosial &amp; Emosi</x:v>
      </x:c>
      <x:c r="I23" s="34" t="str">
        <x:v>Berpikir &amp; Eksplorasi</x:v>
      </x:c>
      <x:c r="J23" s="34" t="str">
        <x:v>visual</x:v>
      </x:c>
      <x:c r="K23" s="34" t="n">
        <x:v>3</x:v>
      </x:c>
      <x:c r="L23" s="34" t="str">
        <x:v>Cermin bayi aman/tidak pecah</x:v>
      </x:c>
      <x:c r="M23" s="34" t="str">
        <x:v>Memberi kesempatan memperhatikan wajah dan gerakan visual yang berubah saat caregiver dan bayi bergerak.</x:v>
      </x:c>
      <x:c r="N23" s="34" t="str">
        <x:v>Tujuan adalah minat visual dan interaksi, bukan menguji pengenalan diri.</x:v>
      </x:c>
      <x:c r="O23" s="34" t="str">
        <x:v>1) Posisikan cermin aman. 2) Tunjuk refleksi sambil bicara. 3) Senyum dan amati respons.</x:v>
      </x:c>
      <x:c r="P23" s="34" t="str">
        <x:v>Menatap refleksi; melihat caregiver; perubahan ekspresi.</x:v>
      </x:c>
      <x:c r="Q23" s="34" t="str">
        <x:v>30 detik.</x:v>
      </x:c>
      <x:c r="R23" s="34" t="str">
        <x:v>Gerakkan posisi cermin perlahan.</x:v>
      </x:c>
      <x:c r="S23" s="34" t="str">
        <x:v>Gunakan cermin khusus bayi/tidak pecah; tepi tidak boleh mengenai bayi.</x:v>
      </x:c>
      <x:c r="T23" s="34" t="str">
        <x:v>Hentikan bila kehilangan minat/cermin tidak stabil.</x:v>
      </x:c>
      <x:c r="U23" s="34" t="str">
        <x:v>Prematur: visual sederhana, jangan terlalu dekat.</x:v>
      </x:c>
      <x:c r="V23" s="34" t="str">
        <x:v>SRC_CDC_2M_2026</x:v>
      </x:c>
      <x:c r="W23" s="34" t="str">
        <x:v>CDC menyarankan baby-safe mirror sebagai aktivitas 2 bulan.</x:v>
      </x:c>
      <x:c r="X23" s="34" t="str">
        <x:v>source_checked</x:v>
      </x:c>
      <x:c r="Y23" s="34" t="str"/>
      <x:c r="Z23" s="34" t="str"/>
      <x:c r="AA23" s="34" t="str">
        <x:v>v0.1</x:v>
      </x:c>
    </x:row>
    <x:row r="24">
      <x:c r="A24" s="34" t="str">
        <x:v>ACT023</x:v>
      </x:c>
      <x:c r="B24" s="34" t="str">
        <x:v>Tiru Ekspresi Wajah</x:v>
      </x:c>
      <x:c r="C24" s="34" t="str">
        <x:v>1–3 bulan</x:v>
      </x:c>
      <x:c r="D24" s="34" t="n">
        <x:v>31</x:v>
      </x:c>
      <x:c r="E24" s="34" t="n">
        <x:v>120</x:v>
      </x:c>
      <x:c r="F24" s="34" t="n">
        <x:v>1</x:v>
      </x:c>
      <x:c r="G24" s="34" t="n">
        <x:v>3</x:v>
      </x:c>
      <x:c r="H24" s="34" t="str">
        <x:v>Sosial &amp; Emosi</x:v>
      </x:c>
      <x:c r="I24" s="34" t="str">
        <x:v>Bahasa &amp; Komunikasi</x:v>
      </x:c>
      <x:c r="J24" s="34" t="str">
        <x:v>responsif</x:v>
      </x:c>
      <x:c r="K24" s="34" t="n">
        <x:v>3</x:v>
      </x:c>
      <x:c r="L24" s="34" t="str">
        <x:v>Tidak perlu alat</x:v>
      </x:c>
      <x:c r="M24" s="34" t="str">
        <x:v>Mendorong perhatian pada wajah dan interaksi timbal balik melalui ekspresi sederhana.</x:v>
      </x:c>
      <x:c r="N24" s="34" t="str">
        <x:v>Caregiver mengikuti ekspresi bayi untuk menunjukkan bahwa sinyalnya diperhatikan.</x:v>
      </x:c>
      <x:c r="O24" s="34" t="str">
        <x:v>1) Tatap bayi saat tenang. 2) Jika bayi membuka mulut/tersenyum, tiru sederhana. 3) Jeda.</x:v>
      </x:c>
      <x:c r="P24" s="34" t="str">
        <x:v>Fokus wajah; senyum; perubahan ekspresi.</x:v>
      </x:c>
      <x:c r="Q24" s="34" t="str">
        <x:v>Satu ekspresi.</x:v>
      </x:c>
      <x:c r="R24" s="34" t="str">
        <x:v>Gabungkan suara lembut.</x:v>
      </x:c>
      <x:c r="S24" s="34" t="str">
        <x:v>Jangan membuat ekspresi/suara mengejutkan.</x:v>
      </x:c>
      <x:c r="T24" s="34" t="str">
        <x:v>Hentikan bila memalingkan wajah/rewel.</x:v>
      </x:c>
      <x:c r="U24" s="34" t="str">
        <x:v>Prematur: pilih quiet-alert state.</x:v>
      </x:c>
      <x:c r="V24" s="34" t="str">
        <x:v>SRC_UNICEF_CCD; SRC_UNICEF_CCD_CARDS</x:v>
      </x:c>
      <x:c r="W24" s="34" t="str">
        <x:v>CCD mendorong smile/laugh/talk/copy sounds or gestures dan respons pada minat anak.</x:v>
      </x:c>
      <x:c r="X24" s="34" t="str">
        <x:v>source_checked</x:v>
      </x:c>
      <x:c r="Y24" s="34" t="str"/>
      <x:c r="Z24" s="34" t="str"/>
      <x:c r="AA24" s="34" t="str">
        <x:v>v0.1</x:v>
      </x:c>
    </x:row>
    <x:row r="25">
      <x:c r="A25" s="34" t="str">
        <x:v>ACT024</x:v>
      </x:c>
      <x:c r="B25" s="34" t="str">
        <x:v>Waktu Interaksi Bersama Ayah/Keluarga</x:v>
      </x:c>
      <x:c r="C25" s="34" t="str">
        <x:v>0–3 bulan</x:v>
      </x:c>
      <x:c r="D25" s="34" t="n">
        <x:v>0</x:v>
      </x:c>
      <x:c r="E25" s="34" t="n">
        <x:v>120</x:v>
      </x:c>
      <x:c r="F25" s="34" t="n">
        <x:v>0</x:v>
      </x:c>
      <x:c r="G25" s="34" t="n">
        <x:v>3</x:v>
      </x:c>
      <x:c r="H25" s="34" t="str">
        <x:v>Sosial &amp; Emosi</x:v>
      </x:c>
      <x:c r="I25" s="34" t="str">
        <x:v>Bahasa &amp; Komunikasi</x:v>
      </x:c>
      <x:c r="J25" s="34" t="str">
        <x:v>responsif</x:v>
      </x:c>
      <x:c r="K25" s="34" t="n">
        <x:v>5</x:v>
      </x:c>
      <x:c r="L25" s="34" t="str">
        <x:v>Tidak perlu alat</x:v>
      </x:c>
      <x:c r="M25" s="34" t="str">
        <x:v>Memberi kesempatan Si Kecil mengalami interaksi hangat dan responsif dengan caregiver lain yang familiar.</x:v>
      </x:c>
      <x:c r="N25" s="34" t="str">
        <x:v>Caregiver lain dapat memperbanyak kesempatan interaksi tanpa sesi stimulasi khusus.</x:v>
      </x:c>
      <x:c r="O25" s="34" t="str">
        <x:v>1) Pilih saat bayi tenang. 2) Ayah/caregiver bicara, senyum, atau menyanyi singkat. 3) Ikuti cue bayi.</x:v>
      </x:c>
      <x:c r="P25" s="34" t="str">
        <x:v>Menatap; suara; lebih tenang; respons ekspresi.</x:v>
      </x:c>
      <x:c r="Q25" s="34" t="str">
        <x:v>1–2 menit.</x:v>
      </x:c>
      <x:c r="R25" s="34" t="str">
        <x:v>Gantian caregiver, bukan ramai bersamaan.</x:v>
      </x:c>
      <x:c r="S25" s="34" t="str">
        <x:v>Hindari terlalu banyak orang/suara sekaligus; volume lembut.</x:v>
      </x:c>
      <x:c r="T25" s="34" t="str">
        <x:v>Hentikan bila overstimulated.</x:v>
      </x:c>
      <x:c r="U25" s="34" t="str">
        <x:v>Prematur: batasi rangsang sekaligus.</x:v>
      </x:c>
      <x:c r="V25" s="34" t="str">
        <x:v>SRC_UNICEF_CCD; SRC_UNICEF_CCD_CARDS; SRC_WHO_ECD_2020</x:v>
      </x:c>
      <x:c r="W25" s="34" t="str">
        <x:v>CCD mendorong anggota keluarga termasuk ayah berkomunikasi dengan bayi.</x:v>
      </x:c>
      <x:c r="X25" s="34" t="str">
        <x:v>source_checked</x:v>
      </x:c>
      <x:c r="Y25" s="34" t="str"/>
      <x:c r="Z25" s="34" t="str"/>
      <x:c r="AA25" s="34" t="str">
        <x:v>v0.1</x:v>
      </x:c>
    </x:row>
    <x:row r="26">
      <x:c r="A26" s="34" t="str">
        <x:v>ACT025</x:v>
      </x:c>
      <x:c r="B26" s="34" t="str">
        <x:v>Ikuti Wajah Ayah/Bunda Perlahan</x:v>
      </x:c>
      <x:c r="C26" s="34" t="str">
        <x:v>0–2 bulan</x:v>
      </x:c>
      <x:c r="D26" s="34" t="n">
        <x:v>0</x:v>
      </x:c>
      <x:c r="E26" s="34" t="n">
        <x:v>90</x:v>
      </x:c>
      <x:c r="F26" s="34" t="n">
        <x:v>0</x:v>
      </x:c>
      <x:c r="G26" s="34" t="n">
        <x:v>2</x:v>
      </x:c>
      <x:c r="H26" s="34" t="str">
        <x:v>Berpikir &amp; Eksplorasi</x:v>
      </x:c>
      <x:c r="I26" s="34" t="str">
        <x:v>Sosial &amp; Emosi</x:v>
      </x:c>
      <x:c r="J26" s="34" t="str">
        <x:v>visual</x:v>
      </x:c>
      <x:c r="K26" s="34" t="n">
        <x:v>2</x:v>
      </x:c>
      <x:c r="L26" s="34" t="str">
        <x:v>Tidak perlu alat</x:v>
      </x:c>
      <x:c r="M26" s="34" t="str">
        <x:v>Memberi kesempatan melatih perhatian visual pada wajah familiar dan mengikuti gerakan perlahan.</x:v>
      </x:c>
      <x:c r="N26" s="34" t="str">
        <x:v>Wajah adalah stimulus menarik pada periode newborn dan bayi muda.</x:v>
      </x:c>
      <x:c r="O26" s="34" t="str">
        <x:v>1) Posisikan wajah dekat saat bayi terjaga. 2) Tunggu bayi melihat. 3) Geser wajah sedikit kiri/kanan perlahan.</x:v>
      </x:c>
      <x:c r="P26" s="34" t="str">
        <x:v>Pandangan tetap di wajah; mata mengikuti sebagian gerakan.</x:v>
      </x:c>
      <x:c r="Q26" s="34" t="str">
        <x:v>Gerakkan sangat sedikit.</x:v>
      </x:c>
      <x:c r="R26" s="34" t="str">
        <x:v>Tambahkan bicara lembut.</x:v>
      </x:c>
      <x:c r="S26" s="34" t="str">
        <x:v>Jangan gerakkan cepat; jangan memaksa kepala mengikuti.</x:v>
      </x:c>
      <x:c r="T26" s="34" t="str">
        <x:v>Hentikan bila kehilangan fokus/lelah.</x:v>
      </x:c>
      <x:c r="U26" s="34" t="str">
        <x:v>Prematur: sesuaikan jarak/tempo.</x:v>
      </x:c>
      <x:c r="V26" s="34" t="str">
        <x:v>SRC_AAP_MOVEMENT_0_3; SRC_UNICEF_CCD</x:v>
      </x:c>
      <x:c r="W26" s="34" t="str">
        <x:v>AAP mencatat newborn tertarik pada wajah dekat; CCD mendorong melihat caregiver sejak lahir.</x:v>
      </x:c>
      <x:c r="X26" s="34" t="str">
        <x:v>source_checked</x:v>
      </x:c>
      <x:c r="Y26" s="34" t="str"/>
      <x:c r="Z26" s="34" t="str"/>
      <x:c r="AA26" s="34" t="str">
        <x:v>v0.1</x:v>
      </x:c>
    </x:row>
    <x:row r="27">
      <x:c r="A27" s="34" t="str">
        <x:v>ACT026</x:v>
      </x:c>
      <x:c r="B27" s="34" t="str">
        <x:v>Ikuti Benda Berwarna Kiri–Kanan</x:v>
      </x:c>
      <x:c r="C27" s="34" t="str">
        <x:v>1–3 bulan</x:v>
      </x:c>
      <x:c r="D27" s="34" t="n">
        <x:v>31</x:v>
      </x:c>
      <x:c r="E27" s="34" t="n">
        <x:v>120</x:v>
      </x:c>
      <x:c r="F27" s="34" t="n">
        <x:v>1</x:v>
      </x:c>
      <x:c r="G27" s="34" t="n">
        <x:v>3</x:v>
      </x:c>
      <x:c r="H27" s="34" t="str">
        <x:v>Berpikir &amp; Eksplorasi</x:v>
      </x:c>
      <x:c r="I27" s="34" t="str">
        <x:v>Tangan &amp; Koordinasi</x:v>
      </x:c>
      <x:c r="J27" s="34" t="str">
        <x:v>visual</x:v>
      </x:c>
      <x:c r="K27" s="34" t="n">
        <x:v>3</x:v>
      </x:c>
      <x:c r="L27" s="34" t="str">
        <x:v>Benda besar berwarna cerah dan aman</x:v>
      </x:c>
      <x:c r="M27" s="34" t="str">
        <x:v>Memberi kesempatan memperhatikan objek dan mengikuti pergerakan perlahan dengan mata.</x:v>
      </x:c>
      <x:c r="N27" s="34" t="str">
        <x:v>Aktivitas berasal dari prinsip CCD menggerakkan benda berwarna perlahan untuk dilihat dan kemudian diraih.</x:v>
      </x:c>
      <x:c r="O27" s="34" t="str">
        <x:v>1) Tunjukkan benda sampai bayi melihat. 2) Gerakkan perlahan kiri–kanan. 3) Berhenti jika pandangan terlepas.</x:v>
      </x:c>
      <x:c r="P27" s="34" t="str">
        <x:v>Mata mengikuti sebagian gerakan; kembali melihat objek.</x:v>
      </x:c>
      <x:c r="Q27" s="34" t="str">
        <x:v>Rentang gerak pendek.</x:v>
      </x:c>
      <x:c r="R27" s="34" t="str">
        <x:v>Ulangi arah sebaliknya.</x:v>
      </x:c>
      <x:c r="S27" s="34" t="str">
        <x:v>Objek besar, ringan, tanpa bagian kecil/ujung tajam; jangan terlalu dekat wajah.</x:v>
      </x:c>
      <x:c r="T27" s="34" t="str">
        <x:v>Hentikan bila memalingkan wajah terus/rewel.</x:v>
      </x:c>
      <x:c r="U27" s="34" t="str">
        <x:v>Prematur: lebih lambat dan singkat.</x:v>
      </x:c>
      <x:c r="V27" s="34" t="str">
        <x:v>SRC_UNICEF_CCD_CARDS; SRC_UNICEF_CCD</x:v>
      </x:c>
      <x:c r="W27" s="34" t="str">
        <x:v>CCD secara eksplisit menyarankan slowly move colourful things for child to see and reach for.</x:v>
      </x:c>
      <x:c r="X27" s="34" t="str">
        <x:v>source_checked</x:v>
      </x:c>
      <x:c r="Y27" s="34" t="str"/>
      <x:c r="Z27" s="34" t="str"/>
      <x:c r="AA27" s="34" t="str">
        <x:v>v0.1</x:v>
      </x:c>
    </x:row>
    <x:row r="28">
      <x:c r="A28" s="34" t="str">
        <x:v>ACT027</x:v>
      </x:c>
      <x:c r="B28" s="34" t="str">
        <x:v>Ikuti Benda Naik–Turun Perlahan</x:v>
      </x:c>
      <x:c r="C28" s="34" t="str">
        <x:v>2–3 bulan</x:v>
      </x:c>
      <x:c r="D28" s="34" t="n">
        <x:v>61</x:v>
      </x:c>
      <x:c r="E28" s="34" t="n">
        <x:v>120</x:v>
      </x:c>
      <x:c r="F28" s="34" t="n">
        <x:v>2</x:v>
      </x:c>
      <x:c r="G28" s="34" t="n">
        <x:v>3</x:v>
      </x:c>
      <x:c r="H28" s="34" t="str">
        <x:v>Berpikir &amp; Eksplorasi</x:v>
      </x:c>
      <x:c r="I28" s="34" t="str">
        <x:v>Tangan &amp; Koordinasi</x:v>
      </x:c>
      <x:c r="J28" s="34" t="str">
        <x:v>visual</x:v>
      </x:c>
      <x:c r="K28" s="34" t="n">
        <x:v>3</x:v>
      </x:c>
      <x:c r="L28" s="34" t="str">
        <x:v>Benda besar berwarna, aman</x:v>
      </x:c>
      <x:c r="M28" s="34" t="str">
        <x:v>Memberi variasi pengalaman visual dengan mengikuti objek pada arah berbeda.</x:v>
      </x:c>
      <x:c r="N28" s="34" t="str">
        <x:v>Variasi arah tetap memakai prinsip gerakan perlahan dan mengikuti minat bayi.</x:v>
      </x:c>
      <x:c r="O28" s="34" t="str">
        <x:v>1) Pastikan bayi melihat objek. 2) Gerakkan sedikit naik lalu turun. 3) Berhenti dan beri jeda.</x:v>
      </x:c>
      <x:c r="P28" s="34" t="str">
        <x:v>Pandangan mengikuti; perhatian bertahan; tangan bergerak ke arah objek.</x:v>
      </x:c>
      <x:c r="Q28" s="34" t="str">
        <x:v>Horizontal saja.</x:v>
      </x:c>
      <x:c r="R28" s="34" t="str">
        <x:v>Horizontal + vertikal di sesi berbeda.</x:v>
      </x:c>
      <x:c r="S28" s="34" t="str">
        <x:v>Objek aman; jangan gerak cepat/mendekat mendadak ke wajah.</x:v>
      </x:c>
      <x:c r="T28" s="34" t="str">
        <x:v>Hentikan bila tidak nyaman.</x:v>
      </x:c>
      <x:c r="U28" s="34" t="str">
        <x:v>Prematur: kurangi kompleksitas visual.</x:v>
      </x:c>
      <x:c r="V28" s="34" t="str">
        <x:v>SRC_UNICEF_CCD; SRC_AAP_MOVEMENT_0_3</x:v>
      </x:c>
      <x:c r="W28" s="34" t="str">
        <x:v>Turunan konservatif dari prinsip tracking visual CCD/AAP.</x:v>
      </x:c>
      <x:c r="X28" s="34" t="str">
        <x:v>source_checked</x:v>
      </x:c>
      <x:c r="Y28" s="34" t="str"/>
      <x:c r="Z28" s="34" t="str"/>
      <x:c r="AA28" s="34" t="str">
        <x:v>v0.1</x:v>
      </x:c>
    </x:row>
    <x:row r="29">
      <x:c r="A29" s="34" t="str">
        <x:v>ACT028</x:v>
      </x:c>
      <x:c r="B29" s="34" t="str">
        <x:v>Cari Sumber Suara Lembut</x:v>
      </x:c>
      <x:c r="C29" s="34" t="str">
        <x:v>2–3 bulan</x:v>
      </x:c>
      <x:c r="D29" s="34" t="n">
        <x:v>61</x:v>
      </x:c>
      <x:c r="E29" s="34" t="n">
        <x:v>120</x:v>
      </x:c>
      <x:c r="F29" s="34" t="n">
        <x:v>2</x:v>
      </x:c>
      <x:c r="G29" s="34" t="n">
        <x:v>3</x:v>
      </x:c>
      <x:c r="H29" s="34" t="str">
        <x:v>Berpikir &amp; Eksplorasi</x:v>
      </x:c>
      <x:c r="I29" s="34" t="str">
        <x:v>Bahasa &amp; Komunikasi</x:v>
      </x:c>
      <x:c r="J29" s="34" t="str">
        <x:v>auditori</x:v>
      </x:c>
      <x:c r="K29" s="34" t="n">
        <x:v>3</x:v>
      </x:c>
      <x:c r="L29" s="34" t="str">
        <x:v>Rattle aman atau suara caregiver</x:v>
      </x:c>
      <x:c r="M29" s="34" t="str">
        <x:v>Memberi kesempatan memusatkan perhatian pada suara dan menghubungkannya dengan sumber.</x:v>
      </x:c>
      <x:c r="N29" s="34" t="str">
        <x:v>Aktivitas untuk perhatian auditori, bukan tes pendengaran.</x:v>
      </x:c>
      <x:c r="O29" s="34" t="str">
        <x:v>1) Bunyi rattle lembut di satu sisi pada jarak aman atau panggil namanya. 2) Tunggu. 3) Ulangi sisi lain bila tetap nyaman.</x:v>
      </x:c>
      <x:c r="P29" s="34" t="str">
        <x:v>Berhenti bergerak; berubah ekspresi; mata/kepala mengarah ke suara.</x:v>
      </x:c>
      <x:c r="Q29" s="34" t="str">
        <x:v>Gunakan suara caregiver.</x:v>
      </x:c>
      <x:c r="R29" s="34" t="str">
        <x:v>Gunakan rattle satu bunyi lembut.</x:v>
      </x:c>
      <x:c r="S29" s="34" t="str">
        <x:v>Jangan bunyikan dekat telinga; hindari suara keras/mengejutkan.</x:v>
      </x:c>
      <x:c r="T29" s="34" t="str">
        <x:v>Hentikan bila kaget berlebihan/distress.</x:v>
      </x:c>
      <x:c r="U29" s="34" t="str">
        <x:v>Jika ada kekhawatiran pendengaran, jangan jadikan app sebagai tes; diskusikan dengan tenaga kesehatan.</x:v>
      </x:c>
      <x:c r="V29" s="34" t="str">
        <x:v>SRC_CDC_2M_2026; SRC_AAP_MOVEMENT_0_3</x:v>
      </x:c>
      <x:c r="W29" s="34" t="str">
        <x:v>CDC menyarankan rattle di sisi kepala dan melihat apakah bayi mencari suara; di app diposisikan sebagai aktivitas, bukan pemeriksaan.</x:v>
      </x:c>
      <x:c r="X29" s="34" t="str">
        <x:v>source_checked</x:v>
      </x:c>
      <x:c r="Y29" s="34" t="str"/>
      <x:c r="Z29" s="34" t="str"/>
      <x:c r="AA29" s="34" t="str">
        <x:v>v0.1</x:v>
      </x:c>
    </x:row>
    <x:row r="30">
      <x:c r="A30" s="34" t="str">
        <x:v>ACT029</x:v>
      </x:c>
      <x:c r="B30" s="34" t="str">
        <x:v>Lihat Gambar Kontras atau Wajah</x:v>
      </x:c>
      <x:c r="C30" s="34" t="str">
        <x:v>0–3 bulan</x:v>
      </x:c>
      <x:c r="D30" s="34" t="n">
        <x:v>0</x:v>
      </x:c>
      <x:c r="E30" s="34" t="n">
        <x:v>120</x:v>
      </x:c>
      <x:c r="F30" s="34" t="n">
        <x:v>0</x:v>
      </x:c>
      <x:c r="G30" s="34" t="n">
        <x:v>3</x:v>
      </x:c>
      <x:c r="H30" s="34" t="str">
        <x:v>Berpikir &amp; Eksplorasi</x:v>
      </x:c>
      <x:c r="I30" s="34" t="str">
        <x:v>Bahasa &amp; Komunikasi</x:v>
      </x:c>
      <x:c r="J30" s="34" t="str">
        <x:v>visual</x:v>
      </x:c>
      <x:c r="K30" s="34" t="n">
        <x:v>3</x:v>
      </x:c>
      <x:c r="L30" s="34" t="str">
        <x:v>Kartu/gambar sederhana atau foto wajah</x:v>
      </x:c>
      <x:c r="M30" s="34" t="str">
        <x:v>Memberi kesempatan memusatkan perhatian visual pada pola sederhana sambil mendengar suara caregiver.</x:v>
      </x:c>
      <x:c r="N30" s="34" t="str">
        <x:v>Bayi muda tertarik pada wajah dan visual sederhana; caregiver memberi konteks dengan bicara.</x:v>
      </x:c>
      <x:c r="O30" s="34" t="str">
        <x:v>1) Tunjukkan satu gambar pada jarak nyaman. 2) Diam beberapa detik. 3) Sebutkan satu kata sederhana.</x:v>
      </x:c>
      <x:c r="P30" s="34" t="str">
        <x:v>Menatap beberapa detik; berpindah pandang; tetap tenang.</x:v>
      </x:c>
      <x:c r="Q30" s="34" t="str">
        <x:v>Gunakan wajah caregiver saja.</x:v>
      </x:c>
      <x:c r="R30" s="34" t="str">
        <x:v>Gunakan dua gambar pada sesi terpisah.</x:v>
      </x:c>
      <x:c r="S30" s="34" t="str">
        <x:v>Jangan menempelkan kartu ke wajah; hindari bahan tajam/longgar.</x:v>
      </x:c>
      <x:c r="T30" s="34" t="str">
        <x:v>Hentikan jika kehilangan minat.</x:v>
      </x:c>
      <x:c r="U30" s="34" t="str">
        <x:v>Prematur: pola sederhana, durasi singkat.</x:v>
      </x:c>
      <x:c r="V30" s="34" t="str">
        <x:v>SRC_CDC_2M_2026; SRC_AAP_MOVEMENT_0_3</x:v>
      </x:c>
      <x:c r="W30" s="34" t="str">
        <x:v>CDC menyarankan melihat gambar warna cerah/wajah; AAP menekankan minat pada wajah dekat.</x:v>
      </x:c>
      <x:c r="X30" s="34" t="str">
        <x:v>source_checked</x:v>
      </x:c>
      <x:c r="Y30" s="34" t="str"/>
      <x:c r="Z30" s="34" t="str"/>
      <x:c r="AA30" s="34" t="str">
        <x:v>v0.1</x:v>
      </x:c>
    </x:row>
    <x:row r="31">
      <x:c r="A31" s="34" t="str">
        <x:v>ACT030</x:v>
      </x:c>
      <x:c r="B31" s="34" t="str">
        <x:v>Dengarkan Suara Ayah/Bunda dari Sisi Berbeda</x:v>
      </x:c>
      <x:c r="C31" s="34" t="str">
        <x:v>0–2 bulan</x:v>
      </x:c>
      <x:c r="D31" s="34" t="n">
        <x:v>0</x:v>
      </x:c>
      <x:c r="E31" s="34" t="n">
        <x:v>90</x:v>
      </x:c>
      <x:c r="F31" s="34" t="n">
        <x:v>0</x:v>
      </x:c>
      <x:c r="G31" s="34" t="n">
        <x:v>2</x:v>
      </x:c>
      <x:c r="H31" s="34" t="str">
        <x:v>Berpikir &amp; Eksplorasi</x:v>
      </x:c>
      <x:c r="I31" s="34" t="str">
        <x:v>Bahasa &amp; Komunikasi</x:v>
      </x:c>
      <x:c r="J31" s="34" t="str">
        <x:v>auditori</x:v>
      </x:c>
      <x:c r="K31" s="34" t="n">
        <x:v>3</x:v>
      </x:c>
      <x:c r="L31" s="34" t="str">
        <x:v>Tidak perlu alat</x:v>
      </x:c>
      <x:c r="M31" s="34" t="str">
        <x:v>Memberi pengalaman mendengar suara familiar dari posisi berbeda sambil mempertahankan interaksi responsif.</x:v>
      </x:c>
      <x:c r="N31" s="34" t="str">
        <x:v>Tujuannya memperkaya perhatian auditori, bukan mengevaluasi fungsi pendengaran.</x:v>
      </x:c>
      <x:c r="O31" s="34" t="str">
        <x:v>1) Caregiver bicara dari posisi dekat satu sisi. 2) Tunggu respons. 3) Setelah jeda, pindah sisi.</x:v>
      </x:c>
      <x:c r="P31" s="34" t="str">
        <x:v>Perubahan ekspresi; mata bergerak; menoleh sedikit; lebih tenang.</x:v>
      </x:c>
      <x:c r="Q31" s="34" t="str">
        <x:v>Tetap di depan bayi.</x:v>
      </x:c>
      <x:c r="R31" s="34" t="str">
        <x:v>Gunakan nama bayi/kalimat familiar.</x:v>
      </x:c>
      <x:c r="S31" s="34" t="str">
        <x:v>Volume normal; jangan dekat telinga.</x:v>
      </x:c>
      <x:c r="T31" s="34" t="str">
        <x:v>Hentikan bila kaget/rewel.</x:v>
      </x:c>
      <x:c r="U31" s="34" t="str">
        <x:v>Kekhawatiran pendengaran dibahas dengan tenaga kesehatan.</x:v>
      </x:c>
      <x:c r="V31" s="34" t="str">
        <x:v>SRC_AAP_MOVEMENT_0_3; SRC_UNICEF_CCD_CARDS</x:v>
      </x:c>
      <x:c r="W31" s="34" t="str">
        <x:v>AAP menyebut perhatian pada suara familiar; CCD mendorong komunikasi sejak lahir.</x:v>
      </x:c>
      <x:c r="X31" s="34" t="str">
        <x:v>source_checked</x:v>
      </x:c>
      <x:c r="Y31" s="34" t="str"/>
      <x:c r="Z31" s="34" t="str"/>
      <x:c r="AA31" s="34" t="str">
        <x:v>v0.1</x:v>
      </x:c>
    </x:row>
    <x:row r="32">
      <x:c r="A32" s="34" t="str">
        <x:v>ACT031</x:v>
      </x:c>
      <x:c r="B32" s="34" t="str">
        <x:v>Perhatikan Rattle dari Depan</x:v>
      </x:c>
      <x:c r="C32" s="34" t="str">
        <x:v>2–3 bulan</x:v>
      </x:c>
      <x:c r="D32" s="34" t="n">
        <x:v>61</x:v>
      </x:c>
      <x:c r="E32" s="34" t="n">
        <x:v>120</x:v>
      </x:c>
      <x:c r="F32" s="34" t="n">
        <x:v>2</x:v>
      </x:c>
      <x:c r="G32" s="34" t="n">
        <x:v>3</x:v>
      </x:c>
      <x:c r="H32" s="34" t="str">
        <x:v>Berpikir &amp; Eksplorasi</x:v>
      </x:c>
      <x:c r="I32" s="34" t="str">
        <x:v>Tangan &amp; Koordinasi</x:v>
      </x:c>
      <x:c r="J32" s="34" t="str">
        <x:v>auditori-visual</x:v>
      </x:c>
      <x:c r="K32" s="34" t="n">
        <x:v>3</x:v>
      </x:c>
      <x:c r="L32" s="34" t="str">
        <x:v>Rattle besar, aman, suara lembut</x:v>
      </x:c>
      <x:c r="M32" s="34" t="str">
        <x:v>Menggabungkan perhatian visual dan auditori pada satu objek yang bergerak perlahan.</x:v>
      </x:c>
      <x:c r="N32" s="34" t="str">
        <x:v>Bayi diberi kesempatan melihat, mendengar, lalu mendekati objek sesuai minat.</x:v>
      </x:c>
      <x:c r="O32" s="34" t="str">
        <x:v>1) Pegang rattle di depan pada jarak aman. 2) Bunyi lembut sekali. 3) Gerakkan sedikit dan tunggu.</x:v>
      </x:c>
      <x:c r="P32" s="34" t="str">
        <x:v>Melihat rattle; mata mengikuti; tangan bergerak ke arah objek.</x:v>
      </x:c>
      <x:c r="Q32" s="34" t="str">
        <x:v>Tanpa bunyi.</x:v>
      </x:c>
      <x:c r="R32" s="34" t="str">
        <x:v>Gerakkan perlahan kiri–kanan.</x:v>
      </x:c>
      <x:c r="S32" s="34" t="str">
        <x:v>Rattle harus utuh, besar, tidak bocor/tidak ada bagian kecil; jangan dekat telinga.</x:v>
      </x:c>
      <x:c r="T32" s="34" t="str">
        <x:v>Hentikan jika terkejut/lelah.</x:v>
      </x:c>
      <x:c r="U32" s="34" t="str">
        <x:v>Prematur: suara sangat lembut, sesi singkat.</x:v>
      </x:c>
      <x:c r="V32" s="34" t="str">
        <x:v>SRC_CDC_2M_2026; SRC_UNICEF_CCD_CARDS</x:v>
      </x:c>
      <x:c r="W32" s="34" t="str">
        <x:v>CDC dan CCD sama-sama memakai rattle/objek berwarna sebagai contoh aktivitas awal.</x:v>
      </x:c>
      <x:c r="X32" s="34" t="str">
        <x:v>source_checked</x:v>
      </x:c>
      <x:c r="Y32" s="34" t="str"/>
      <x:c r="Z32" s="34" t="str"/>
      <x:c r="AA32" s="34" t="str">
        <x:v>v0.1</x:v>
      </x:c>
    </x:row>
    <x:row r="33">
      <x:c r="A33" s="34" t="str">
        <x:v>ACT032</x:v>
      </x:c>
      <x:c r="B33" s="34" t="str">
        <x:v>Jeda dan Ikuti Minat Si Kecil</x:v>
      </x:c>
      <x:c r="C33" s="34" t="str">
        <x:v>0–3 bulan</x:v>
      </x:c>
      <x:c r="D33" s="34" t="n">
        <x:v>0</x:v>
      </x:c>
      <x:c r="E33" s="34" t="n">
        <x:v>120</x:v>
      </x:c>
      <x:c r="F33" s="34" t="n">
        <x:v>0</x:v>
      </x:c>
      <x:c r="G33" s="34" t="n">
        <x:v>3</x:v>
      </x:c>
      <x:c r="H33" s="34" t="str">
        <x:v>Berpikir &amp; Eksplorasi</x:v>
      </x:c>
      <x:c r="I33" s="34" t="str">
        <x:v>Sosial &amp; Emosi</x:v>
      </x:c>
      <x:c r="J33" s="34" t="str">
        <x:v>responsif</x:v>
      </x:c>
      <x:c r="K33" s="34" t="n">
        <x:v>3</x:v>
      </x:c>
      <x:c r="L33" s="34" t="str">
        <x:v>Tidak perlu alat</x:v>
      </x:c>
      <x:c r="M33" s="34" t="str">
        <x:v>Membantu caregiver memperhatikan apa yang sedang menarik perhatian bayi lalu merespons minat tersebut.</x:v>
      </x:c>
      <x:c r="N33" s="34" t="str">
        <x:v>Responsive caregiving bukan hanya memberi stimulasi, tetapi memperhatikan cue dan minat anak.</x:v>
      </x:c>
      <x:c r="O33" s="34" t="str">
        <x:v>1) Saat bayi tenang, tunggu beberapa detik tanpa stimulus baru. 2) Perhatikan apa yang dilihat/didengar. 3) Ikuti minatnya dengan bicara sederhana.</x:v>
      </x:c>
      <x:c r="P33" s="34" t="str">
        <x:v>Arah pandang; perubahan ekspresi; suara; gerakan tubuh.</x:v>
      </x:c>
      <x:c r="Q33" s="34" t="str">
        <x:v>30 detik.</x:v>
      </x:c>
      <x:c r="R33" s="34" t="str">
        <x:v>Gunakan minat bayi untuk memilih aktivitas berikutnya.</x:v>
      </x:c>
      <x:c r="S33" s="34" t="str">
        <x:v>Jangan membanjiri bayi dengan banyak stimulus sekaligus.</x:v>
      </x:c>
      <x:c r="T33" s="34" t="str">
        <x:v>Hentikan jika tanda lelah/ingin berhenti.</x:v>
      </x:c>
      <x:c r="U33" s="34" t="str">
        <x:v>Prematur: bermanfaat untuk mencegah overstimulation; ikuti cue individual.</x:v>
      </x:c>
      <x:c r="V33" s="34" t="str">
        <x:v>SRC_WHO_ECD_2020; SRC_UNICEF_CCD</x:v>
      </x:c>
      <x:c r="W33" s="34" t="str">
        <x:v>WHO/UNICEF: noticing, interpreting and responding to child cues adalah inti responsive caregiving.</x:v>
      </x:c>
      <x:c r="X33" s="34" t="str">
        <x:v>source_checked</x:v>
      </x:c>
      <x:c r="Y33" s="34" t="str"/>
      <x:c r="Z33" s="34" t="str"/>
      <x:c r="AA33" s="34" t="str">
        <x:v>v0.1</x:v>
      </x:c>
    </x:row>
  </x:sheetData>
  <x:dataValidations count="1">
    <x:dataValidation type="list" sqref="X2:X33">
      <x:formula1>"draft,source_checked,clinical_review,approved"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7149a4c6e504ce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6" hidden="0" customWidth="1"/>
  </x:cols>
  <x:sheetData>
    <x:row r="1">
      <x:c r="A1" s="28" t="str">
        <x:v>activity_id</x:v>
      </x:c>
      <x:c r="B1" s="28" t="str">
        <x:v>skill_id</x:v>
      </x:c>
      <x:c r="C1" s="28" t="str">
        <x:v>relation</x:v>
      </x:c>
    </x:row>
    <x:row r="2">
      <x:c r="A2" t="str">
        <x:v>ACT001</x:v>
      </x:c>
      <x:c r="B2" t="str">
        <x:v>SK008</x:v>
      </x:c>
      <x:c r="C2" t="str">
        <x:v>primary</x:v>
      </x:c>
    </x:row>
    <x:row r="3">
      <x:c r="A3" t="str">
        <x:v>ACT001</x:v>
      </x:c>
      <x:c r="B3" t="str">
        <x:v>SK001</x:v>
      </x:c>
      <x:c r="C3" t="str">
        <x:v>secondary</x:v>
      </x:c>
    </x:row>
    <x:row r="4">
      <x:c r="A4" t="str">
        <x:v>ACT002</x:v>
      </x:c>
      <x:c r="B4" t="str">
        <x:v>SK009</x:v>
      </x:c>
      <x:c r="C4" t="str">
        <x:v>primary</x:v>
      </x:c>
    </x:row>
    <x:row r="5">
      <x:c r="A5" t="str">
        <x:v>ACT002</x:v>
      </x:c>
      <x:c r="B5" t="str">
        <x:v>SK010</x:v>
      </x:c>
      <x:c r="C5" t="str">
        <x:v>secondary</x:v>
      </x:c>
    </x:row>
    <x:row r="6">
      <x:c r="A6" t="str">
        <x:v>ACT003</x:v>
      </x:c>
      <x:c r="B6" t="str">
        <x:v>SK008</x:v>
      </x:c>
      <x:c r="C6" t="str">
        <x:v>primary</x:v>
      </x:c>
    </x:row>
    <x:row r="7">
      <x:c r="A7" t="str">
        <x:v>ACT003</x:v>
      </x:c>
      <x:c r="B7" t="str">
        <x:v>SK006</x:v>
      </x:c>
      <x:c r="C7" t="str">
        <x:v>secondary</x:v>
      </x:c>
    </x:row>
    <x:row r="8">
      <x:c r="A8" t="str">
        <x:v>ACT004</x:v>
      </x:c>
      <x:c r="B8" t="str">
        <x:v>SK008</x:v>
      </x:c>
      <x:c r="C8" t="str">
        <x:v>primary</x:v>
      </x:c>
    </x:row>
    <x:row r="9">
      <x:c r="A9" t="str">
        <x:v>ACT004</x:v>
      </x:c>
      <x:c r="B9" t="str">
        <x:v>SK001</x:v>
      </x:c>
      <x:c r="C9" t="str">
        <x:v>secondary</x:v>
      </x:c>
    </x:row>
    <x:row r="10">
      <x:c r="A10" t="str">
        <x:v>ACT005</x:v>
      </x:c>
      <x:c r="B10" t="str">
        <x:v>SK009</x:v>
      </x:c>
      <x:c r="C10" t="str">
        <x:v>primary</x:v>
      </x:c>
    </x:row>
    <x:row r="11">
      <x:c r="A11" t="str">
        <x:v>ACT005</x:v>
      </x:c>
      <x:c r="B11" t="str">
        <x:v>SK005</x:v>
      </x:c>
      <x:c r="C11" t="str">
        <x:v>secondary</x:v>
      </x:c>
    </x:row>
    <x:row r="12">
      <x:c r="A12" t="str">
        <x:v>ACT006</x:v>
      </x:c>
      <x:c r="B12" t="str">
        <x:v>SK008</x:v>
      </x:c>
      <x:c r="C12" t="str">
        <x:v>primary</x:v>
      </x:c>
    </x:row>
    <x:row r="13">
      <x:c r="A13" t="str">
        <x:v>ACT006</x:v>
      </x:c>
      <x:c r="B13" t="str">
        <x:v>SK002</x:v>
      </x:c>
      <x:c r="C13" t="str">
        <x:v>secondary</x:v>
      </x:c>
    </x:row>
    <x:row r="14">
      <x:c r="A14" t="str">
        <x:v>ACT007</x:v>
      </x:c>
      <x:c r="B14" t="str">
        <x:v>SK010</x:v>
      </x:c>
      <x:c r="C14" t="str">
        <x:v>primary</x:v>
      </x:c>
    </x:row>
    <x:row r="15">
      <x:c r="A15" t="str">
        <x:v>ACT007</x:v>
      </x:c>
      <x:c r="B15" t="str">
        <x:v>SK002</x:v>
      </x:c>
      <x:c r="C15" t="str">
        <x:v>secondary</x:v>
      </x:c>
    </x:row>
    <x:row r="16">
      <x:c r="A16" t="str">
        <x:v>ACT008</x:v>
      </x:c>
      <x:c r="B16" t="str">
        <x:v>SK010</x:v>
      </x:c>
      <x:c r="C16" t="str">
        <x:v>primary</x:v>
      </x:c>
    </x:row>
    <x:row r="17">
      <x:c r="A17" t="str">
        <x:v>ACT008</x:v>
      </x:c>
      <x:c r="B17" t="str">
        <x:v>SK011</x:v>
      </x:c>
      <x:c r="C17" t="str">
        <x:v>secondary</x:v>
      </x:c>
    </x:row>
    <x:row r="18">
      <x:c r="A18" t="str">
        <x:v>ACT009</x:v>
      </x:c>
      <x:c r="B18" t="str">
        <x:v>SK011</x:v>
      </x:c>
      <x:c r="C18" t="str">
        <x:v>primary</x:v>
      </x:c>
    </x:row>
    <x:row r="19">
      <x:c r="A19" t="str">
        <x:v>ACT009</x:v>
      </x:c>
      <x:c r="B19" t="str">
        <x:v>SK010</x:v>
      </x:c>
      <x:c r="C19" t="str">
        <x:v>secondary</x:v>
      </x:c>
    </x:row>
    <x:row r="20">
      <x:c r="A20" t="str">
        <x:v>ACT010</x:v>
      </x:c>
      <x:c r="B20" t="str">
        <x:v>SK010</x:v>
      </x:c>
      <x:c r="C20" t="str">
        <x:v>primary</x:v>
      </x:c>
    </x:row>
    <x:row r="21">
      <x:c r="A21" t="str">
        <x:v>ACT010</x:v>
      </x:c>
      <x:c r="B21" t="str">
        <x:v>SK007</x:v>
      </x:c>
      <x:c r="C21" t="str">
        <x:v>secondary</x:v>
      </x:c>
    </x:row>
    <x:row r="22">
      <x:c r="A22" t="str">
        <x:v>ACT011</x:v>
      </x:c>
      <x:c r="B22" t="str">
        <x:v>SK012</x:v>
      </x:c>
      <x:c r="C22" t="str">
        <x:v>primary</x:v>
      </x:c>
    </x:row>
    <x:row r="23">
      <x:c r="A23" t="str">
        <x:v>ACT011</x:v>
      </x:c>
      <x:c r="B23" t="str">
        <x:v>SK006</x:v>
      </x:c>
      <x:c r="C23" t="str">
        <x:v>secondary</x:v>
      </x:c>
    </x:row>
    <x:row r="24">
      <x:c r="A24" t="str">
        <x:v>ACT012</x:v>
      </x:c>
      <x:c r="B24" t="str">
        <x:v>SK012</x:v>
      </x:c>
      <x:c r="C24" t="str">
        <x:v>primary</x:v>
      </x:c>
    </x:row>
    <x:row r="25">
      <x:c r="A25" t="str">
        <x:v>ACT012</x:v>
      </x:c>
      <x:c r="B25" t="str">
        <x:v>SK008</x:v>
      </x:c>
      <x:c r="C25" t="str">
        <x:v>secondary</x:v>
      </x:c>
    </x:row>
    <x:row r="26">
      <x:c r="A26" t="str">
        <x:v>ACT013</x:v>
      </x:c>
      <x:c r="B26" t="str">
        <x:v>SK005</x:v>
      </x:c>
      <x:c r="C26" t="str">
        <x:v>primary</x:v>
      </x:c>
    </x:row>
    <x:row r="27">
      <x:c r="A27" t="str">
        <x:v>ACT013</x:v>
      </x:c>
      <x:c r="B27" t="str">
        <x:v>SK001</x:v>
      </x:c>
      <x:c r="C27" t="str">
        <x:v>secondary</x:v>
      </x:c>
    </x:row>
    <x:row r="28">
      <x:c r="A28" t="str">
        <x:v>ACT014</x:v>
      </x:c>
      <x:c r="B28" t="str">
        <x:v>SK005</x:v>
      </x:c>
      <x:c r="C28" t="str">
        <x:v>primary</x:v>
      </x:c>
    </x:row>
    <x:row r="29">
      <x:c r="A29" t="str">
        <x:v>ACT014</x:v>
      </x:c>
      <x:c r="B29" t="str">
        <x:v>SK013</x:v>
      </x:c>
      <x:c r="C29" t="str">
        <x:v>secondary</x:v>
      </x:c>
    </x:row>
    <x:row r="30">
      <x:c r="A30" t="str">
        <x:v>ACT015</x:v>
      </x:c>
      <x:c r="B30" t="str">
        <x:v>SK005</x:v>
      </x:c>
      <x:c r="C30" t="str">
        <x:v>primary</x:v>
      </x:c>
    </x:row>
    <x:row r="31">
      <x:c r="A31" t="str">
        <x:v>ACT015</x:v>
      </x:c>
      <x:c r="B31" t="str">
        <x:v>SK002</x:v>
      </x:c>
      <x:c r="C31" t="str">
        <x:v>secondary</x:v>
      </x:c>
    </x:row>
    <x:row r="32">
      <x:c r="A32" t="str">
        <x:v>ACT016</x:v>
      </x:c>
      <x:c r="B32" t="str">
        <x:v>SK013</x:v>
      </x:c>
      <x:c r="C32" t="str">
        <x:v>primary</x:v>
      </x:c>
    </x:row>
    <x:row r="33">
      <x:c r="A33" t="str">
        <x:v>ACT016</x:v>
      </x:c>
      <x:c r="B33" t="str">
        <x:v>SK004</x:v>
      </x:c>
      <x:c r="C33" t="str">
        <x:v>secondary</x:v>
      </x:c>
    </x:row>
    <x:row r="34">
      <x:c r="A34" t="str">
        <x:v>ACT017</x:v>
      </x:c>
      <x:c r="B34" t="str">
        <x:v>SK013</x:v>
      </x:c>
      <x:c r="C34" t="str">
        <x:v>primary</x:v>
      </x:c>
    </x:row>
    <x:row r="35">
      <x:c r="A35" t="str">
        <x:v>ACT017</x:v>
      </x:c>
      <x:c r="B35" t="str">
        <x:v>SK003</x:v>
      </x:c>
      <x:c r="C35" t="str">
        <x:v>secondary</x:v>
      </x:c>
    </x:row>
    <x:row r="36">
      <x:c r="A36" t="str">
        <x:v>ACT018</x:v>
      </x:c>
      <x:c r="B36" t="str">
        <x:v>SK007</x:v>
      </x:c>
      <x:c r="C36" t="str">
        <x:v>primary</x:v>
      </x:c>
    </x:row>
    <x:row r="37">
      <x:c r="A37" t="str">
        <x:v>ACT018</x:v>
      </x:c>
      <x:c r="B37" t="str">
        <x:v>SK005</x:v>
      </x:c>
      <x:c r="C37" t="str">
        <x:v>secondary</x:v>
      </x:c>
    </x:row>
    <x:row r="38">
      <x:c r="A38" t="str">
        <x:v>ACT019</x:v>
      </x:c>
      <x:c r="B38" t="str">
        <x:v>SK002</x:v>
      </x:c>
      <x:c r="C38" t="str">
        <x:v>primary</x:v>
      </x:c>
    </x:row>
    <x:row r="39">
      <x:c r="A39" t="str">
        <x:v>ACT019</x:v>
      </x:c>
      <x:c r="B39" t="str">
        <x:v>SK001</x:v>
      </x:c>
      <x:c r="C39" t="str">
        <x:v>secondary</x:v>
      </x:c>
    </x:row>
    <x:row r="40">
      <x:c r="A40" t="str">
        <x:v>ACT020</x:v>
      </x:c>
      <x:c r="B40" t="str">
        <x:v>SK001</x:v>
      </x:c>
      <x:c r="C40" t="str">
        <x:v>primary</x:v>
      </x:c>
    </x:row>
    <x:row r="41">
      <x:c r="A41" t="str">
        <x:v>ACT020</x:v>
      </x:c>
      <x:c r="B41" t="str">
        <x:v>SK003</x:v>
      </x:c>
      <x:c r="C41" t="str">
        <x:v>secondary</x:v>
      </x:c>
    </x:row>
    <x:row r="42">
      <x:c r="A42" t="str">
        <x:v>ACT021</x:v>
      </x:c>
      <x:c r="B42" t="str">
        <x:v>SK002</x:v>
      </x:c>
      <x:c r="C42" t="str">
        <x:v>primary</x:v>
      </x:c>
    </x:row>
    <x:row r="43">
      <x:c r="A43" t="str">
        <x:v>ACT021</x:v>
      </x:c>
      <x:c r="B43" t="str">
        <x:v>SK005</x:v>
      </x:c>
      <x:c r="C43" t="str">
        <x:v>secondary</x:v>
      </x:c>
    </x:row>
    <x:row r="44">
      <x:c r="A44" t="str">
        <x:v>ACT022</x:v>
      </x:c>
      <x:c r="B44" t="str">
        <x:v>SK015</x:v>
      </x:c>
      <x:c r="C44" t="str">
        <x:v>primary</x:v>
      </x:c>
    </x:row>
    <x:row r="45">
      <x:c r="A45" t="str">
        <x:v>ACT022</x:v>
      </x:c>
      <x:c r="B45" t="str">
        <x:v>SK001</x:v>
      </x:c>
      <x:c r="C45" t="str">
        <x:v>secondary</x:v>
      </x:c>
    </x:row>
    <x:row r="46">
      <x:c r="A46" t="str">
        <x:v>ACT023</x:v>
      </x:c>
      <x:c r="B46" t="str">
        <x:v>SK003</x:v>
      </x:c>
      <x:c r="C46" t="str">
        <x:v>primary</x:v>
      </x:c>
    </x:row>
    <x:row r="47">
      <x:c r="A47" t="str">
        <x:v>ACT023</x:v>
      </x:c>
      <x:c r="B47" t="str">
        <x:v>SK001</x:v>
      </x:c>
      <x:c r="C47" t="str">
        <x:v>secondary</x:v>
      </x:c>
    </x:row>
    <x:row r="48">
      <x:c r="A48" t="str">
        <x:v>ACT024</x:v>
      </x:c>
      <x:c r="B48" t="str">
        <x:v>SK001</x:v>
      </x:c>
      <x:c r="C48" t="str">
        <x:v>primary</x:v>
      </x:c>
    </x:row>
    <x:row r="49">
      <x:c r="A49" t="str">
        <x:v>ACT024</x:v>
      </x:c>
      <x:c r="B49" t="str">
        <x:v>SK005</x:v>
      </x:c>
      <x:c r="C49" t="str">
        <x:v>secondary</x:v>
      </x:c>
    </x:row>
    <x:row r="50">
      <x:c r="A50" t="str">
        <x:v>ACT025</x:v>
      </x:c>
      <x:c r="B50" t="str">
        <x:v>SK006</x:v>
      </x:c>
      <x:c r="C50" t="str">
        <x:v>primary</x:v>
      </x:c>
    </x:row>
    <x:row r="51">
      <x:c r="A51" t="str">
        <x:v>ACT025</x:v>
      </x:c>
      <x:c r="B51" t="str">
        <x:v>SK001</x:v>
      </x:c>
      <x:c r="C51" t="str">
        <x:v>secondary</x:v>
      </x:c>
    </x:row>
    <x:row r="52">
      <x:c r="A52" t="str">
        <x:v>ACT026</x:v>
      </x:c>
      <x:c r="B52" t="str">
        <x:v>SK006</x:v>
      </x:c>
      <x:c r="C52" t="str">
        <x:v>primary</x:v>
      </x:c>
    </x:row>
    <x:row r="53">
      <x:c r="A53" t="str">
        <x:v>ACT026</x:v>
      </x:c>
      <x:c r="B53" t="str">
        <x:v>SK007</x:v>
      </x:c>
      <x:c r="C53" t="str">
        <x:v>secondary</x:v>
      </x:c>
    </x:row>
    <x:row r="54">
      <x:c r="A54" t="str">
        <x:v>ACT027</x:v>
      </x:c>
      <x:c r="B54" t="str">
        <x:v>SK006</x:v>
      </x:c>
      <x:c r="C54" t="str">
        <x:v>primary</x:v>
      </x:c>
    </x:row>
    <x:row r="55">
      <x:c r="A55" t="str">
        <x:v>ACT027</x:v>
      </x:c>
      <x:c r="B55" t="str">
        <x:v>SK007</x:v>
      </x:c>
      <x:c r="C55" t="str">
        <x:v>secondary</x:v>
      </x:c>
    </x:row>
    <x:row r="56">
      <x:c r="A56" t="str">
        <x:v>ACT028</x:v>
      </x:c>
      <x:c r="B56" t="str">
        <x:v>SK005</x:v>
      </x:c>
      <x:c r="C56" t="str">
        <x:v>primary</x:v>
      </x:c>
    </x:row>
    <x:row r="57">
      <x:c r="A57" t="str">
        <x:v>ACT028</x:v>
      </x:c>
      <x:c r="B57" t="str">
        <x:v>SK014</x:v>
      </x:c>
      <x:c r="C57" t="str">
        <x:v>secondary</x:v>
      </x:c>
    </x:row>
    <x:row r="58">
      <x:c r="A58" t="str">
        <x:v>ACT029</x:v>
      </x:c>
      <x:c r="B58" t="str">
        <x:v>SK007</x:v>
      </x:c>
      <x:c r="C58" t="str">
        <x:v>primary</x:v>
      </x:c>
    </x:row>
    <x:row r="59">
      <x:c r="A59" t="str">
        <x:v>ACT029</x:v>
      </x:c>
      <x:c r="B59" t="str">
        <x:v>SK001</x:v>
      </x:c>
      <x:c r="C59" t="str">
        <x:v>secondary</x:v>
      </x:c>
    </x:row>
    <x:row r="60">
      <x:c r="A60" t="str">
        <x:v>ACT030</x:v>
      </x:c>
      <x:c r="B60" t="str">
        <x:v>SK014</x:v>
      </x:c>
      <x:c r="C60" t="str">
        <x:v>primary</x:v>
      </x:c>
    </x:row>
    <x:row r="61">
      <x:c r="A61" t="str">
        <x:v>ACT030</x:v>
      </x:c>
      <x:c r="B61" t="str">
        <x:v>SK005</x:v>
      </x:c>
      <x:c r="C61" t="str">
        <x:v>secondary</x:v>
      </x:c>
    </x:row>
    <x:row r="62">
      <x:c r="A62" t="str">
        <x:v>ACT031</x:v>
      </x:c>
      <x:c r="B62" t="str">
        <x:v>SK007</x:v>
      </x:c>
      <x:c r="C62" t="str">
        <x:v>primary</x:v>
      </x:c>
    </x:row>
    <x:row r="63">
      <x:c r="A63" t="str">
        <x:v>ACT031</x:v>
      </x:c>
      <x:c r="B63" t="str">
        <x:v>SK012</x:v>
      </x:c>
      <x:c r="C63" t="str">
        <x:v>secondary</x:v>
      </x:c>
    </x:row>
    <x:row r="64">
      <x:c r="A64" t="str">
        <x:v>ACT032</x:v>
      </x:c>
      <x:c r="B64" t="str">
        <x:v>SK007</x:v>
      </x:c>
      <x:c r="C64" t="str">
        <x:v>primary</x:v>
      </x:c>
    </x:row>
    <x:row r="65">
      <x:c r="A65" t="str">
        <x:v>ACT032</x:v>
      </x:c>
      <x:c r="B65" t="str">
        <x:v>SK001</x:v>
      </x:c>
      <x:c r="C65" t="str">
        <x:v>secondary</x:v>
      </x:c>
    </x:row>
    <x:row r="66">
      <x:c r="A66" t="str">
        <x:v>ACT033</x:v>
      </x:c>
      <x:c r="B66" t="str">
        <x:v>SK027</x:v>
      </x:c>
      <x:c r="C66" t="str">
        <x:v>primary</x:v>
      </x:c>
    </x:row>
    <x:row r="67">
      <x:c r="A67" t="str">
        <x:v>ACT033</x:v>
      </x:c>
      <x:c r="B67" t="str">
        <x:v>SK025</x:v>
      </x:c>
      <x:c r="C67" t="str">
        <x:v>secondary</x:v>
      </x:c>
    </x:row>
    <x:row r="68">
      <x:c r="A68" t="str">
        <x:v>ACT034</x:v>
      </x:c>
      <x:c r="B68" t="str">
        <x:v>SK036</x:v>
      </x:c>
      <x:c r="C68" t="str">
        <x:v>primary</x:v>
      </x:c>
    </x:row>
    <x:row r="69">
      <x:c r="A69" t="str">
        <x:v>ACT034</x:v>
      </x:c>
      <x:c r="B69" t="str">
        <x:v>SK035</x:v>
      </x:c>
      <x:c r="C69" t="str">
        <x:v>secondary</x:v>
      </x:c>
    </x:row>
    <x:row r="70">
      <x:c r="A70" t="str">
        <x:v>ACT035</x:v>
      </x:c>
      <x:c r="B70" t="str">
        <x:v>SK036</x:v>
      </x:c>
      <x:c r="C70" t="str">
        <x:v>primary</x:v>
      </x:c>
    </x:row>
    <x:row r="71">
      <x:c r="A71" t="str">
        <x:v>ACT035</x:v>
      </x:c>
      <x:c r="B71" t="str">
        <x:v>SK035</x:v>
      </x:c>
      <x:c r="C71" t="str">
        <x:v>secondary</x:v>
      </x:c>
    </x:row>
    <x:row r="72">
      <x:c r="A72" t="str">
        <x:v>ACT036</x:v>
      </x:c>
      <x:c r="B72" t="str">
        <x:v>SK038</x:v>
      </x:c>
      <x:c r="C72" t="str">
        <x:v>primary</x:v>
      </x:c>
    </x:row>
    <x:row r="73">
      <x:c r="A73" t="str">
        <x:v>ACT036</x:v>
      </x:c>
      <x:c r="B73" t="str">
        <x:v>SK023</x:v>
      </x:c>
      <x:c r="C73" t="str">
        <x:v>secondary</x:v>
      </x:c>
    </x:row>
    <x:row r="74">
      <x:c r="A74" t="str">
        <x:v>ACT037</x:v>
      </x:c>
      <x:c r="B74" t="str">
        <x:v>SK037</x:v>
      </x:c>
      <x:c r="C74" t="str">
        <x:v>primary</x:v>
      </x:c>
    </x:row>
    <x:row r="75">
      <x:c r="A75" t="str">
        <x:v>ACT037</x:v>
      </x:c>
      <x:c r="B75" t="str">
        <x:v>SK027</x:v>
      </x:c>
      <x:c r="C75" t="str">
        <x:v>secondary</x:v>
      </x:c>
    </x:row>
    <x:row r="76">
      <x:c r="A76" t="str">
        <x:v>ACT038</x:v>
      </x:c>
      <x:c r="B76" t="str">
        <x:v>SK009</x:v>
      </x:c>
      <x:c r="C76" t="str">
        <x:v>primary</x:v>
      </x:c>
    </x:row>
    <x:row r="77">
      <x:c r="A77" t="str">
        <x:v>ACT038</x:v>
      </x:c>
      <x:c r="B77" t="str">
        <x:v>SK022</x:v>
      </x:c>
      <x:c r="C77" t="str">
        <x:v>secondary</x:v>
      </x:c>
    </x:row>
    <x:row r="78">
      <x:c r="A78" t="str">
        <x:v>ACT039</x:v>
      </x:c>
      <x:c r="B78" t="str">
        <x:v>SK024</x:v>
      </x:c>
      <x:c r="C78" t="str">
        <x:v>primary</x:v>
      </x:c>
    </x:row>
    <x:row r="79">
      <x:c r="A79" t="str">
        <x:v>ACT039</x:v>
      </x:c>
      <x:c r="B79" t="str">
        <x:v>SK022</x:v>
      </x:c>
      <x:c r="C79" t="str">
        <x:v>secondary</x:v>
      </x:c>
    </x:row>
    <x:row r="80">
      <x:c r="A80" t="str">
        <x:v>ACT040</x:v>
      </x:c>
      <x:c r="B80" t="str">
        <x:v>SK025</x:v>
      </x:c>
      <x:c r="C80" t="str">
        <x:v>primary</x:v>
      </x:c>
    </x:row>
    <x:row r="81">
      <x:c r="A81" t="str">
        <x:v>ACT040</x:v>
      </x:c>
      <x:c r="B81" t="str">
        <x:v>SK022</x:v>
      </x:c>
      <x:c r="C81" t="str">
        <x:v>secondary</x:v>
      </x:c>
    </x:row>
    <x:row r="82">
      <x:c r="A82" t="str">
        <x:v>ACT041</x:v>
      </x:c>
      <x:c r="B82" t="str">
        <x:v>SK035</x:v>
      </x:c>
      <x:c r="C82" t="str">
        <x:v>primary</x:v>
      </x:c>
    </x:row>
    <x:row r="83">
      <x:c r="A83" t="str">
        <x:v>ACT041</x:v>
      </x:c>
      <x:c r="B83" t="str">
        <x:v>SK022</x:v>
      </x:c>
      <x:c r="C83" t="str">
        <x:v>secondary</x:v>
      </x:c>
    </x:row>
    <x:row r="84">
      <x:c r="A84" t="str">
        <x:v>ACT042</x:v>
      </x:c>
      <x:c r="B84" t="str">
        <x:v>SK035</x:v>
      </x:c>
      <x:c r="C84" t="str">
        <x:v>primary</x:v>
      </x:c>
    </x:row>
    <x:row r="85">
      <x:c r="A85" t="str">
        <x:v>ACT042</x:v>
      </x:c>
      <x:c r="B85" t="str">
        <x:v>SK024</x:v>
      </x:c>
      <x:c r="C85" t="str">
        <x:v>secondary</x:v>
      </x:c>
    </x:row>
    <x:row r="86">
      <x:c r="A86" t="str">
        <x:v>ACT043</x:v>
      </x:c>
      <x:c r="B86" t="str">
        <x:v>SK024</x:v>
      </x:c>
      <x:c r="C86" t="str">
        <x:v>primary</x:v>
      </x:c>
    </x:row>
    <x:row r="87">
      <x:c r="A87" t="str">
        <x:v>ACT043</x:v>
      </x:c>
      <x:c r="B87" t="str">
        <x:v>SK022</x:v>
      </x:c>
      <x:c r="C87" t="str">
        <x:v>secondary</x:v>
      </x:c>
    </x:row>
    <x:row r="88">
      <x:c r="A88" t="str">
        <x:v>ACT044</x:v>
      </x:c>
      <x:c r="B88" t="str">
        <x:v>SK024</x:v>
      </x:c>
      <x:c r="C88" t="str">
        <x:v>primary</x:v>
      </x:c>
    </x:row>
    <x:row r="89">
      <x:c r="A89" t="str">
        <x:v>ACT044</x:v>
      </x:c>
      <x:c r="B89" t="str">
        <x:v>SK034</x:v>
      </x:c>
      <x:c r="C89" t="str">
        <x:v>secondary</x:v>
      </x:c>
    </x:row>
    <x:row r="90">
      <x:c r="A90" t="str">
        <x:v>ACT045</x:v>
      </x:c>
      <x:c r="B90" t="str">
        <x:v>SK020</x:v>
      </x:c>
      <x:c r="C90" t="str">
        <x:v>primary</x:v>
      </x:c>
    </x:row>
    <x:row r="91">
      <x:c r="A91" t="str">
        <x:v>ACT045</x:v>
      </x:c>
      <x:c r="B91" t="str">
        <x:v>SK031</x:v>
      </x:c>
      <x:c r="C91" t="str">
        <x:v>secondary</x:v>
      </x:c>
    </x:row>
    <x:row r="92">
      <x:c r="A92" t="str">
        <x:v>ACT046</x:v>
      </x:c>
      <x:c r="B92" t="str">
        <x:v>SK020</x:v>
      </x:c>
      <x:c r="C92" t="str">
        <x:v>primary</x:v>
      </x:c>
    </x:row>
    <x:row r="93">
      <x:c r="A93" t="str">
        <x:v>ACT046</x:v>
      </x:c>
      <x:c r="B93" t="str">
        <x:v>SK018</x:v>
      </x:c>
      <x:c r="C93" t="str">
        <x:v>secondary</x:v>
      </x:c>
    </x:row>
    <x:row r="94">
      <x:c r="A94" t="str">
        <x:v>ACT047</x:v>
      </x:c>
      <x:c r="B94" t="str">
        <x:v>SK020</x:v>
      </x:c>
      <x:c r="C94" t="str">
        <x:v>primary</x:v>
      </x:c>
    </x:row>
    <x:row r="95">
      <x:c r="A95" t="str">
        <x:v>ACT047</x:v>
      </x:c>
      <x:c r="B95" t="str">
        <x:v>SK021</x:v>
      </x:c>
      <x:c r="C95" t="str">
        <x:v>secondary</x:v>
      </x:c>
    </x:row>
    <x:row r="96">
      <x:c r="A96" t="str">
        <x:v>ACT048</x:v>
      </x:c>
      <x:c r="B96" t="str">
        <x:v>SK020</x:v>
      </x:c>
      <x:c r="C96" t="str">
        <x:v>primary</x:v>
      </x:c>
    </x:row>
    <x:row r="97">
      <x:c r="A97" t="str">
        <x:v>ACT048</x:v>
      </x:c>
      <x:c r="B97" t="str">
        <x:v>SK031</x:v>
      </x:c>
      <x:c r="C97" t="str">
        <x:v>secondary</x:v>
      </x:c>
    </x:row>
    <x:row r="98">
      <x:c r="A98" t="str">
        <x:v>ACT049</x:v>
      </x:c>
      <x:c r="B98" t="str">
        <x:v>SK019</x:v>
      </x:c>
      <x:c r="C98" t="str">
        <x:v>primary</x:v>
      </x:c>
    </x:row>
    <x:row r="99">
      <x:c r="A99" t="str">
        <x:v>ACT049</x:v>
      </x:c>
      <x:c r="B99" t="str">
        <x:v>SK020</x:v>
      </x:c>
      <x:c r="C99" t="str">
        <x:v>secondary</x:v>
      </x:c>
    </x:row>
    <x:row r="100">
      <x:c r="A100" t="str">
        <x:v>ACT050</x:v>
      </x:c>
      <x:c r="B100" t="str">
        <x:v>SK032</x:v>
      </x:c>
      <x:c r="C100" t="str">
        <x:v>primary</x:v>
      </x:c>
    </x:row>
    <x:row r="101">
      <x:c r="A101" t="str">
        <x:v>ACT050</x:v>
      </x:c>
      <x:c r="B101" t="str">
        <x:v>SK033</x:v>
      </x:c>
      <x:c r="C101" t="str">
        <x:v>secondary</x:v>
      </x:c>
    </x:row>
    <x:row r="102">
      <x:c r="A102" t="str">
        <x:v>ACT051</x:v>
      </x:c>
      <x:c r="B102" t="str">
        <x:v>SK017</x:v>
      </x:c>
      <x:c r="C102" t="str">
        <x:v>primary</x:v>
      </x:c>
    </x:row>
    <x:row r="103">
      <x:c r="A103" t="str">
        <x:v>ACT051</x:v>
      </x:c>
      <x:c r="B103" t="str">
        <x:v>SK016</x:v>
      </x:c>
      <x:c r="C103" t="str">
        <x:v>secondary</x:v>
      </x:c>
    </x:row>
    <x:row r="104">
      <x:c r="A104" t="str">
        <x:v>ACT052</x:v>
      </x:c>
      <x:c r="B104" t="str">
        <x:v>SK029</x:v>
      </x:c>
      <x:c r="C104" t="str">
        <x:v>primary</x:v>
      </x:c>
    </x:row>
    <x:row r="105">
      <x:c r="A105" t="str">
        <x:v>ACT052</x:v>
      </x:c>
      <x:c r="B105" t="str">
        <x:v>SK030</x:v>
      </x:c>
      <x:c r="C105" t="str">
        <x:v>secondary</x:v>
      </x:c>
    </x:row>
    <x:row r="106">
      <x:c r="A106" t="str">
        <x:v>ACT053</x:v>
      </x:c>
      <x:c r="B106" t="str">
        <x:v>SK016</x:v>
      </x:c>
      <x:c r="C106" t="str">
        <x:v>primary</x:v>
      </x:c>
    </x:row>
    <x:row r="107">
      <x:c r="A107" t="str">
        <x:v>ACT053</x:v>
      </x:c>
      <x:c r="B107" t="str">
        <x:v>SK018</x:v>
      </x:c>
      <x:c r="C107" t="str">
        <x:v>secondary</x:v>
      </x:c>
    </x:row>
    <x:row r="108">
      <x:c r="A108" t="str">
        <x:v>ACT054</x:v>
      </x:c>
      <x:c r="B108" t="str">
        <x:v>SK028</x:v>
      </x:c>
      <x:c r="C108" t="str">
        <x:v>primary</x:v>
      </x:c>
    </x:row>
    <x:row r="109">
      <x:c r="A109" t="str">
        <x:v>ACT054</x:v>
      </x:c>
      <x:c r="B109" t="str">
        <x:v>SK018</x:v>
      </x:c>
      <x:c r="C109" t="str">
        <x:v>secondary</x:v>
      </x:c>
    </x:row>
    <x:row r="110">
      <x:c r="A110" t="str">
        <x:v>ACT055</x:v>
      </x:c>
      <x:c r="B110" t="str">
        <x:v>SK018</x:v>
      </x:c>
      <x:c r="C110" t="str">
        <x:v>primary</x:v>
      </x:c>
    </x:row>
    <x:row r="111">
      <x:c r="A111" t="str">
        <x:v>ACT055</x:v>
      </x:c>
      <x:c r="B111" t="str">
        <x:v>SK017</x:v>
      </x:c>
      <x:c r="C111" t="str">
        <x:v>secondary</x:v>
      </x:c>
    </x:row>
    <x:row r="112">
      <x:c r="A112" t="str">
        <x:v>ACT056</x:v>
      </x:c>
      <x:c r="B112" t="str">
        <x:v>SK028</x:v>
      </x:c>
      <x:c r="C112" t="str">
        <x:v>primary</x:v>
      </x:c>
    </x:row>
    <x:row r="113">
      <x:c r="A113" t="str">
        <x:v>ACT056</x:v>
      </x:c>
      <x:c r="B113" t="str">
        <x:v>SK018</x:v>
      </x:c>
      <x:c r="C113" t="str">
        <x:v>secondary</x:v>
      </x:c>
    </x:row>
    <x:row r="114">
      <x:c r="A114" t="str">
        <x:v>ACT057</x:v>
      </x:c>
      <x:c r="B114" t="str">
        <x:v>SK034</x:v>
      </x:c>
      <x:c r="C114" t="str">
        <x:v>primary</x:v>
      </x:c>
    </x:row>
    <x:row r="115">
      <x:c r="A115" t="str">
        <x:v>ACT057</x:v>
      </x:c>
      <x:c r="B115" t="str">
        <x:v>SK024</x:v>
      </x:c>
      <x:c r="C115" t="str">
        <x:v>secondary</x:v>
      </x:c>
    </x:row>
    <x:row r="116">
      <x:c r="A116" t="str">
        <x:v>ACT058</x:v>
      </x:c>
      <x:c r="B116" t="str">
        <x:v>SK022</x:v>
      </x:c>
      <x:c r="C116" t="str">
        <x:v>primary</x:v>
      </x:c>
    </x:row>
    <x:row r="117">
      <x:c r="A117" t="str">
        <x:v>ACT058</x:v>
      </x:c>
      <x:c r="B117" t="str">
        <x:v>SK024</x:v>
      </x:c>
      <x:c r="C117" t="str">
        <x:v>secondary</x:v>
      </x:c>
    </x:row>
    <x:row r="118">
      <x:c r="A118" t="str">
        <x:v>ACT059</x:v>
      </x:c>
      <x:c r="B118" t="str">
        <x:v>SK035</x:v>
      </x:c>
      <x:c r="C118" t="str">
        <x:v>primary</x:v>
      </x:c>
    </x:row>
    <x:row r="119">
      <x:c r="A119" t="str">
        <x:v>ACT059</x:v>
      </x:c>
      <x:c r="B119" t="str">
        <x:v>SK022</x:v>
      </x:c>
      <x:c r="C119" t="str">
        <x:v>secondary</x:v>
      </x:c>
    </x:row>
    <x:row r="120">
      <x:c r="A120" t="str">
        <x:v>ACT060</x:v>
      </x:c>
      <x:c r="B120" t="str">
        <x:v>SK035</x:v>
      </x:c>
      <x:c r="C120" t="str">
        <x:v>primary</x:v>
      </x:c>
    </x:row>
    <x:row r="121">
      <x:c r="A121" t="str">
        <x:v>ACT060</x:v>
      </x:c>
      <x:c r="B121" t="str">
        <x:v>SK036</x:v>
      </x:c>
      <x:c r="C121" t="str">
        <x:v>secondary</x:v>
      </x:c>
    </x:row>
    <x:row r="122">
      <x:c r="A122" t="str">
        <x:v>ACT061</x:v>
      </x:c>
      <x:c r="B122" t="str">
        <x:v>SK034</x:v>
      </x:c>
      <x:c r="C122" t="str">
        <x:v>primary</x:v>
      </x:c>
    </x:row>
    <x:row r="123">
      <x:c r="A123" t="str">
        <x:v>ACT061</x:v>
      </x:c>
      <x:c r="B123" t="str">
        <x:v>SK024</x:v>
      </x:c>
      <x:c r="C123" t="str">
        <x:v>secondary</x:v>
      </x:c>
    </x:row>
    <x:row r="124">
      <x:c r="A124" t="str">
        <x:v>ACT062</x:v>
      </x:c>
      <x:c r="B124" t="str">
        <x:v>SK022</x:v>
      </x:c>
      <x:c r="C124" t="str">
        <x:v>primary</x:v>
      </x:c>
    </x:row>
    <x:row r="125">
      <x:c r="A125" t="str">
        <x:v>ACT062</x:v>
      </x:c>
      <x:c r="B125" t="str">
        <x:v>SK035</x:v>
      </x:c>
      <x:c r="C125" t="str">
        <x:v>secondary</x:v>
      </x:c>
    </x:row>
    <x:row r="126">
      <x:c r="A126" t="str">
        <x:v>ACT063</x:v>
      </x:c>
      <x:c r="B126" t="str">
        <x:v>SK040</x:v>
      </x:c>
      <x:c r="C126" t="str">
        <x:v>primary</x:v>
      </x:c>
    </x:row>
    <x:row r="127">
      <x:c r="A127" t="str">
        <x:v>ACT063</x:v>
      </x:c>
      <x:c r="B127" t="str">
        <x:v>SK048</x:v>
      </x:c>
      <x:c r="C127" t="str">
        <x:v>secondary</x:v>
      </x:c>
    </x:row>
    <x:row r="128">
      <x:c r="A128" t="str">
        <x:v>ACT064</x:v>
      </x:c>
      <x:c r="B128" t="str">
        <x:v>SK040</x:v>
      </x:c>
      <x:c r="C128" t="str">
        <x:v>primary</x:v>
      </x:c>
    </x:row>
    <x:row r="129">
      <x:c r="A129" t="str">
        <x:v>ACT064</x:v>
      </x:c>
      <x:c r="B129" t="str">
        <x:v>SK048</x:v>
      </x:c>
      <x:c r="C129" t="str">
        <x:v>secondary</x:v>
      </x:c>
    </x:row>
    <x:row r="130">
      <x:c r="A130" t="str">
        <x:v>ACT065</x:v>
      </x:c>
      <x:c r="B130" t="str">
        <x:v>SK042</x:v>
      </x:c>
      <x:c r="C130" t="str">
        <x:v>primary</x:v>
      </x:c>
    </x:row>
    <x:row r="131">
      <x:c r="A131" t="str">
        <x:v>ACT065</x:v>
      </x:c>
      <x:c r="B131" t="str">
        <x:v>SK049</x:v>
      </x:c>
      <x:c r="C131" t="str">
        <x:v>secondary</x:v>
      </x:c>
    </x:row>
    <x:row r="132">
      <x:c r="A132" t="str">
        <x:v>ACT066</x:v>
      </x:c>
      <x:c r="B132" t="str">
        <x:v>SK043</x:v>
      </x:c>
      <x:c r="C132" t="str">
        <x:v>primary</x:v>
      </x:c>
    </x:row>
    <x:row r="133">
      <x:c r="A133" t="str">
        <x:v>ACT066</x:v>
      </x:c>
      <x:c r="B133" t="str">
        <x:v>SK042</x:v>
      </x:c>
      <x:c r="C133" t="str">
        <x:v>secondary</x:v>
      </x:c>
    </x:row>
    <x:row r="134">
      <x:c r="A134" t="str">
        <x:v>ACT067</x:v>
      </x:c>
      <x:c r="B134" t="str">
        <x:v>SK042</x:v>
      </x:c>
      <x:c r="C134" t="str">
        <x:v>primary</x:v>
      </x:c>
    </x:row>
    <x:row r="135">
      <x:c r="A135" t="str">
        <x:v>ACT067</x:v>
      </x:c>
      <x:c r="B135" t="str">
        <x:v>SK055</x:v>
      </x:c>
      <x:c r="C135" t="str">
        <x:v>secondary</x:v>
      </x:c>
    </x:row>
    <x:row r="136">
      <x:c r="A136" t="str">
        <x:v>ACT068</x:v>
      </x:c>
      <x:c r="B136" t="str">
        <x:v>SK044</x:v>
      </x:c>
      <x:c r="C136" t="str">
        <x:v>primary</x:v>
      </x:c>
    </x:row>
    <x:row r="137">
      <x:c r="A137" t="str">
        <x:v>ACT068</x:v>
      </x:c>
      <x:c r="B137" t="str">
        <x:v>SK040</x:v>
      </x:c>
      <x:c r="C137" t="str">
        <x:v>secondary</x:v>
      </x:c>
    </x:row>
    <x:row r="138">
      <x:c r="A138" t="str">
        <x:v>ACT069</x:v>
      </x:c>
      <x:c r="B138" t="str">
        <x:v>SK045</x:v>
      </x:c>
      <x:c r="C138" t="str">
        <x:v>primary</x:v>
      </x:c>
    </x:row>
    <x:row r="139">
      <x:c r="A139" t="str">
        <x:v>ACT069</x:v>
      </x:c>
      <x:c r="B139" t="str">
        <x:v>SK048</x:v>
      </x:c>
      <x:c r="C139" t="str">
        <x:v>secondary</x:v>
      </x:c>
    </x:row>
    <x:row r="140">
      <x:c r="A140" t="str">
        <x:v>ACT070</x:v>
      </x:c>
      <x:c r="B140" t="str">
        <x:v>SK046</x:v>
      </x:c>
      <x:c r="C140" t="str">
        <x:v>primary</x:v>
      </x:c>
    </x:row>
    <x:row r="141">
      <x:c r="A141" t="str">
        <x:v>ACT070</x:v>
      </x:c>
      <x:c r="B141" t="str">
        <x:v>SK052</x:v>
      </x:c>
      <x:c r="C141" t="str">
        <x:v>secondary</x:v>
      </x:c>
    </x:row>
    <x:row r="142">
      <x:c r="A142" t="str">
        <x:v>ACT071</x:v>
      </x:c>
      <x:c r="B142" t="str">
        <x:v>SK045</x:v>
      </x:c>
      <x:c r="C142" t="str">
        <x:v>primary</x:v>
      </x:c>
    </x:row>
    <x:row r="143">
      <x:c r="A143" t="str">
        <x:v>ACT071</x:v>
      </x:c>
      <x:c r="B143" t="str">
        <x:v>SK049</x:v>
      </x:c>
      <x:c r="C143" t="str">
        <x:v>secondary</x:v>
      </x:c>
    </x:row>
    <x:row r="144">
      <x:c r="A144" t="str">
        <x:v>ACT072</x:v>
      </x:c>
      <x:c r="B144" t="str">
        <x:v>SK045</x:v>
      </x:c>
      <x:c r="C144" t="str">
        <x:v>primary</x:v>
      </x:c>
    </x:row>
    <x:row r="145">
      <x:c r="A145" t="str">
        <x:v>ACT072</x:v>
      </x:c>
      <x:c r="B145" t="str">
        <x:v>SK052</x:v>
      </x:c>
      <x:c r="C145" t="str">
        <x:v>secondary</x:v>
      </x:c>
    </x:row>
    <x:row r="146">
      <x:c r="A146" t="str">
        <x:v>ACT073</x:v>
      </x:c>
      <x:c r="B146" t="str">
        <x:v>SK045</x:v>
      </x:c>
      <x:c r="C146" t="str">
        <x:v>primary</x:v>
      </x:c>
    </x:row>
    <x:row r="147">
      <x:c r="A147" t="str">
        <x:v>ACT073</x:v>
      </x:c>
      <x:c r="B147" t="str">
        <x:v>SK049</x:v>
      </x:c>
      <x:c r="C147" t="str">
        <x:v>secondary</x:v>
      </x:c>
    </x:row>
    <x:row r="148">
      <x:c r="A148" t="str">
        <x:v>ACT074</x:v>
      </x:c>
      <x:c r="B148" t="str">
        <x:v>SK048</x:v>
      </x:c>
      <x:c r="C148" t="str">
        <x:v>primary</x:v>
      </x:c>
    </x:row>
    <x:row r="149">
      <x:c r="A149" t="str">
        <x:v>ACT074</x:v>
      </x:c>
      <x:c r="B149" t="str">
        <x:v>SK045</x:v>
      </x:c>
      <x:c r="C149" t="str">
        <x:v>secondary</x:v>
      </x:c>
    </x:row>
    <x:row r="150">
      <x:c r="A150" t="str">
        <x:v>ACT075</x:v>
      </x:c>
      <x:c r="B150" t="str">
        <x:v>SK058</x:v>
      </x:c>
      <x:c r="C150" t="str">
        <x:v>primary</x:v>
      </x:c>
    </x:row>
    <x:row r="151">
      <x:c r="A151" t="str">
        <x:v>ACT075</x:v>
      </x:c>
      <x:c r="B151" t="str">
        <x:v>SK062</x:v>
      </x:c>
      <x:c r="C151" t="str">
        <x:v>secondary</x:v>
      </x:c>
    </x:row>
    <x:row r="152">
      <x:c r="A152" t="str">
        <x:v>ACT076</x:v>
      </x:c>
      <x:c r="B152" t="str">
        <x:v>SK061</x:v>
      </x:c>
      <x:c r="C152" t="str">
        <x:v>primary</x:v>
      </x:c>
    </x:row>
    <x:row r="153">
      <x:c r="A153" t="str">
        <x:v>ACT076</x:v>
      </x:c>
      <x:c r="B153" t="str">
        <x:v>SK062</x:v>
      </x:c>
      <x:c r="C153" t="str">
        <x:v>secondary</x:v>
      </x:c>
    </x:row>
    <x:row r="154">
      <x:c r="A154" t="str">
        <x:v>ACT077</x:v>
      </x:c>
      <x:c r="B154" t="str">
        <x:v>SK059</x:v>
      </x:c>
      <x:c r="C154" t="str">
        <x:v>primary</x:v>
      </x:c>
    </x:row>
    <x:row r="155">
      <x:c r="A155" t="str">
        <x:v>ACT077</x:v>
      </x:c>
      <x:c r="B155" t="str">
        <x:v>SK062</x:v>
      </x:c>
      <x:c r="C155" t="str">
        <x:v>secondary</x:v>
      </x:c>
    </x:row>
    <x:row r="156">
      <x:c r="A156" t="str">
        <x:v>ACT078</x:v>
      </x:c>
      <x:c r="B156" t="str">
        <x:v>SK060</x:v>
      </x:c>
      <x:c r="C156" t="str">
        <x:v>primary</x:v>
      </x:c>
    </x:row>
    <x:row r="157">
      <x:c r="A157" t="str">
        <x:v>ACT078</x:v>
      </x:c>
      <x:c r="B157" t="str">
        <x:v>SK062</x:v>
      </x:c>
      <x:c r="C157" t="str">
        <x:v>secondary</x:v>
      </x:c>
    </x:row>
    <x:row r="158">
      <x:c r="A158" t="str">
        <x:v>ACT079</x:v>
      </x:c>
      <x:c r="B158" t="str">
        <x:v>SK063</x:v>
      </x:c>
      <x:c r="C158" t="str">
        <x:v>primary</x:v>
      </x:c>
    </x:row>
    <x:row r="159">
      <x:c r="A159" t="str">
        <x:v>ACT079</x:v>
      </x:c>
      <x:c r="B159" t="str">
        <x:v>SK061</x:v>
      </x:c>
      <x:c r="C159" t="str">
        <x:v>secondary</x:v>
      </x:c>
    </x:row>
    <x:row r="160">
      <x:c r="A160" t="str">
        <x:v>ACT080</x:v>
      </x:c>
      <x:c r="B160" t="str">
        <x:v>SK060</x:v>
      </x:c>
      <x:c r="C160" t="str">
        <x:v>primary</x:v>
      </x:c>
    </x:row>
    <x:row r="161">
      <x:c r="A161" t="str">
        <x:v>ACT080</x:v>
      </x:c>
      <x:c r="B161" t="str">
        <x:v>SK058</x:v>
      </x:c>
      <x:c r="C161" t="str">
        <x:v>secondary</x:v>
      </x:c>
    </x:row>
    <x:row r="162">
      <x:c r="A162" t="str">
        <x:v>ACT081</x:v>
      </x:c>
      <x:c r="B162" t="str">
        <x:v>SK057</x:v>
      </x:c>
      <x:c r="C162" t="str">
        <x:v>primary</x:v>
      </x:c>
    </x:row>
    <x:row r="163">
      <x:c r="A163" t="str">
        <x:v>ACT081</x:v>
      </x:c>
      <x:c r="B163" t="str">
        <x:v>SK050</x:v>
      </x:c>
      <x:c r="C163" t="str">
        <x:v>secondary</x:v>
      </x:c>
    </x:row>
    <x:row r="164">
      <x:c r="A164" t="str">
        <x:v>ACT082</x:v>
      </x:c>
      <x:c r="B164" t="str">
        <x:v>SK062</x:v>
      </x:c>
      <x:c r="C164" t="str">
        <x:v>primary</x:v>
      </x:c>
    </x:row>
    <x:row r="165">
      <x:c r="A165" t="str">
        <x:v>ACT082</x:v>
      </x:c>
      <x:c r="B165" t="str">
        <x:v>SK053</x:v>
      </x:c>
      <x:c r="C165" t="str">
        <x:v>secondary</x:v>
      </x:c>
    </x:row>
    <x:row r="166">
      <x:c r="A166" t="str">
        <x:v>ACT083</x:v>
      </x:c>
      <x:c r="B166" t="str">
        <x:v>SK053</x:v>
      </x:c>
      <x:c r="C166" t="str">
        <x:v>primary</x:v>
      </x:c>
    </x:row>
    <x:row r="167">
      <x:c r="A167" t="str">
        <x:v>ACT083</x:v>
      </x:c>
      <x:c r="B167" t="str">
        <x:v>SK057</x:v>
      </x:c>
      <x:c r="C167" t="str">
        <x:v>secondary</x:v>
      </x:c>
    </x:row>
    <x:row r="168">
      <x:c r="A168" t="str">
        <x:v>ACT084</x:v>
      </x:c>
      <x:c r="B168" t="str">
        <x:v>SK051</x:v>
      </x:c>
      <x:c r="C168" t="str">
        <x:v>primary</x:v>
      </x:c>
    </x:row>
    <x:row r="169">
      <x:c r="A169" t="str">
        <x:v>ACT084</x:v>
      </x:c>
      <x:c r="B169" t="str">
        <x:v>SK057</x:v>
      </x:c>
      <x:c r="C169" t="str">
        <x:v>secondary</x:v>
      </x:c>
    </x:row>
    <x:row r="170">
      <x:c r="A170" t="str">
        <x:v>ACT085</x:v>
      </x:c>
      <x:c r="B170" t="str">
        <x:v>SK056</x:v>
      </x:c>
      <x:c r="C170" t="str">
        <x:v>primary</x:v>
      </x:c>
    </x:row>
    <x:row r="171">
      <x:c r="A171" t="str">
        <x:v>ACT085</x:v>
      </x:c>
      <x:c r="B171" t="str">
        <x:v>SK054</x:v>
      </x:c>
      <x:c r="C171" t="str">
        <x:v>secondary</x:v>
      </x:c>
    </x:row>
    <x:row r="172">
      <x:c r="A172" t="str">
        <x:v>ACT086</x:v>
      </x:c>
      <x:c r="B172" t="str">
        <x:v>SK055</x:v>
      </x:c>
      <x:c r="C172" t="str">
        <x:v>primary</x:v>
      </x:c>
    </x:row>
    <x:row r="173">
      <x:c r="A173" t="str">
        <x:v>ACT086</x:v>
      </x:c>
      <x:c r="B173" t="str">
        <x:v>SK051</x:v>
      </x:c>
      <x:c r="C173" t="str">
        <x:v>secondary</x:v>
      </x:c>
    </x:row>
    <x:row r="174">
      <x:c r="A174" t="str">
        <x:v>ACT087</x:v>
      </x:c>
      <x:c r="B174" t="str">
        <x:v>SK049</x:v>
      </x:c>
      <x:c r="C174" t="str">
        <x:v>primary</x:v>
      </x:c>
    </x:row>
    <x:row r="175">
      <x:c r="A175" t="str">
        <x:v>ACT087</x:v>
      </x:c>
      <x:c r="B175" t="str">
        <x:v>SK050</x:v>
      </x:c>
      <x:c r="C175" t="str">
        <x:v>secondary</x:v>
      </x:c>
    </x:row>
    <x:row r="176">
      <x:c r="A176" t="str">
        <x:v>ACT088</x:v>
      </x:c>
      <x:c r="B176" t="str">
        <x:v>SK049</x:v>
      </x:c>
      <x:c r="C176" t="str">
        <x:v>primary</x:v>
      </x:c>
    </x:row>
    <x:row r="177">
      <x:c r="A177" t="str">
        <x:v>ACT088</x:v>
      </x:c>
      <x:c r="B177" t="str">
        <x:v>SK052</x:v>
      </x:c>
      <x:c r="C177" t="str">
        <x:v>secondary</x:v>
      </x:c>
    </x:row>
    <x:row r="178">
      <x:c r="A178" t="str">
        <x:v>ACT089</x:v>
      </x:c>
      <x:c r="B178" t="str">
        <x:v>SK052</x:v>
      </x:c>
      <x:c r="C178" t="str">
        <x:v>primary</x:v>
      </x:c>
    </x:row>
    <x:row r="179">
      <x:c r="A179" t="str">
        <x:v>ACT089</x:v>
      </x:c>
      <x:c r="B179" t="str">
        <x:v>SK046</x:v>
      </x:c>
      <x:c r="C179" t="str">
        <x:v>secondary</x:v>
      </x:c>
    </x:row>
    <x:row r="180">
      <x:c r="A180" t="str">
        <x:v>ACT090</x:v>
      </x:c>
      <x:c r="B180" t="str">
        <x:v>SK049</x:v>
      </x:c>
      <x:c r="C180" t="str">
        <x:v>primary</x:v>
      </x:c>
    </x:row>
    <x:row r="181">
      <x:c r="A181" t="str">
        <x:v>ACT090</x:v>
      </x:c>
      <x:c r="B181" t="str">
        <x:v>SK045</x:v>
      </x:c>
      <x:c r="C181" t="str">
        <x:v>secondary</x:v>
      </x:c>
    </x:row>
    <x:row r="182">
      <x:c r="A182" t="str">
        <x:v>ACT091</x:v>
      </x:c>
      <x:c r="B182" t="str">
        <x:v>SK049</x:v>
      </x:c>
      <x:c r="C182" t="str">
        <x:v>primary</x:v>
      </x:c>
    </x:row>
    <x:row r="183">
      <x:c r="A183" t="str">
        <x:v>ACT091</x:v>
      </x:c>
      <x:c r="B183" t="str">
        <x:v>SK050</x:v>
      </x:c>
      <x:c r="C183" t="str">
        <x:v>secondary</x:v>
      </x:c>
    </x:row>
    <x:row r="184">
      <x:c r="A184" t="str">
        <x:v>ACT092</x:v>
      </x:c>
      <x:c r="B184" t="str">
        <x:v>SK052</x:v>
      </x:c>
      <x:c r="C184" t="str">
        <x:v>primary</x:v>
      </x:c>
    </x:row>
    <x:row r="185">
      <x:c r="A185" t="str">
        <x:v>ACT092</x:v>
      </x:c>
      <x:c r="B185" t="str">
        <x:v>SK045</x:v>
      </x:c>
      <x:c r="C185" t="str">
        <x:v>secondary</x:v>
      </x:c>
    </x:row>
    <x:row r="186">
      <x:c r="A186" t="str">
        <x:v>ACT093</x:v>
      </x:c>
      <x:c r="B186" t="str">
        <x:v>SK080</x:v>
      </x:c>
      <x:c r="C186" t="str">
        <x:v>primary</x:v>
      </x:c>
    </x:row>
    <x:row r="187">
      <x:c r="A187" t="str">
        <x:v>ACT093</x:v>
      </x:c>
      <x:c r="B187" t="str">
        <x:v>SK079</x:v>
      </x:c>
      <x:c r="C187" t="str">
        <x:v>secondary</x:v>
      </x:c>
    </x:row>
    <x:row r="188">
      <x:c r="A188" t="str">
        <x:v>ACT094</x:v>
      </x:c>
      <x:c r="B188" t="str">
        <x:v>SK079</x:v>
      </x:c>
      <x:c r="C188" t="str">
        <x:v>primary</x:v>
      </x:c>
    </x:row>
    <x:row r="189">
      <x:c r="A189" t="str">
        <x:v>ACT094</x:v>
      </x:c>
      <x:c r="B189" t="str">
        <x:v>SK082</x:v>
      </x:c>
      <x:c r="C189" t="str">
        <x:v>secondary</x:v>
      </x:c>
    </x:row>
    <x:row r="190">
      <x:c r="A190" t="str">
        <x:v>ACT095</x:v>
      </x:c>
      <x:c r="B190" t="str">
        <x:v>SK082</x:v>
      </x:c>
      <x:c r="C190" t="str">
        <x:v>primary</x:v>
      </x:c>
    </x:row>
    <x:row r="191">
      <x:c r="A191" t="str">
        <x:v>ACT095</x:v>
      </x:c>
      <x:c r="B191" t="str">
        <x:v>SK078</x:v>
      </x:c>
      <x:c r="C191" t="str">
        <x:v>secondary</x:v>
      </x:c>
    </x:row>
    <x:row r="192">
      <x:c r="A192" t="str">
        <x:v>ACT096</x:v>
      </x:c>
      <x:c r="B192" t="str">
        <x:v>SK080</x:v>
      </x:c>
      <x:c r="C192" t="str">
        <x:v>primary</x:v>
      </x:c>
    </x:row>
    <x:row r="193">
      <x:c r="A193" t="str">
        <x:v>ACT096</x:v>
      </x:c>
      <x:c r="B193" t="str">
        <x:v>SK081</x:v>
      </x:c>
      <x:c r="C193" t="str">
        <x:v>secondary</x:v>
      </x:c>
    </x:row>
    <x:row r="194">
      <x:c r="A194" t="str">
        <x:v>ACT097</x:v>
      </x:c>
      <x:c r="B194" t="str">
        <x:v>SK083</x:v>
      </x:c>
      <x:c r="C194" t="str">
        <x:v>primary</x:v>
      </x:c>
    </x:row>
    <x:row r="195">
      <x:c r="A195" t="str">
        <x:v>ACT097</x:v>
      </x:c>
      <x:c r="B195" t="str">
        <x:v>SK080</x:v>
      </x:c>
      <x:c r="C195" t="str">
        <x:v>secondary</x:v>
      </x:c>
    </x:row>
    <x:row r="196">
      <x:c r="A196" t="str">
        <x:v>ACT098</x:v>
      </x:c>
      <x:c r="B196" t="str">
        <x:v>SK081</x:v>
      </x:c>
      <x:c r="C196" t="str">
        <x:v>primary</x:v>
      </x:c>
    </x:row>
    <x:row r="197">
      <x:c r="A197" t="str">
        <x:v>ACT098</x:v>
      </x:c>
      <x:c r="B197" t="str">
        <x:v>SK080</x:v>
      </x:c>
      <x:c r="C197" t="str">
        <x:v>secondary</x:v>
      </x:c>
    </x:row>
    <x:row r="198">
      <x:c r="A198" t="str">
        <x:v>ACT099</x:v>
      </x:c>
      <x:c r="B198" t="str">
        <x:v>SK085</x:v>
      </x:c>
      <x:c r="C198" t="str">
        <x:v>primary</x:v>
      </x:c>
    </x:row>
    <x:row r="199">
      <x:c r="A199" t="str">
        <x:v>ACT099</x:v>
      </x:c>
      <x:c r="B199" t="str">
        <x:v>SK074</x:v>
      </x:c>
      <x:c r="C199" t="str">
        <x:v>secondary</x:v>
      </x:c>
    </x:row>
    <x:row r="200">
      <x:c r="A200" t="str">
        <x:v>ACT100</x:v>
      </x:c>
      <x:c r="B200" t="str">
        <x:v>SK085</x:v>
      </x:c>
      <x:c r="C200" t="str">
        <x:v>primary</x:v>
      </x:c>
    </x:row>
    <x:row r="201">
      <x:c r="A201" t="str">
        <x:v>ACT100</x:v>
      </x:c>
      <x:c r="B201" t="str">
        <x:v>SK076</x:v>
      </x:c>
      <x:c r="C201" t="str">
        <x:v>secondary</x:v>
      </x:c>
    </x:row>
    <x:row r="202">
      <x:c r="A202" t="str">
        <x:v>ACT101</x:v>
      </x:c>
      <x:c r="B202" t="str">
        <x:v>SK086</x:v>
      </x:c>
      <x:c r="C202" t="str">
        <x:v>primary</x:v>
      </x:c>
    </x:row>
    <x:row r="203">
      <x:c r="A203" t="str">
        <x:v>ACT101</x:v>
      </x:c>
      <x:c r="B203" t="str">
        <x:v>SK073</x:v>
      </x:c>
      <x:c r="C203" t="str">
        <x:v>secondary</x:v>
      </x:c>
    </x:row>
    <x:row r="204">
      <x:c r="A204" t="str">
        <x:v>ACT102</x:v>
      </x:c>
      <x:c r="B204" t="str">
        <x:v>SK088</x:v>
      </x:c>
      <x:c r="C204" t="str">
        <x:v>primary</x:v>
      </x:c>
    </x:row>
    <x:row r="205">
      <x:c r="A205" t="str">
        <x:v>ACT102</x:v>
      </x:c>
      <x:c r="B205" t="str">
        <x:v>SK077</x:v>
      </x:c>
      <x:c r="C205" t="str">
        <x:v>secondary</x:v>
      </x:c>
    </x:row>
    <x:row r="206">
      <x:c r="A206" t="str">
        <x:v>ACT103</x:v>
      </x:c>
      <x:c r="B206" t="str">
        <x:v>SK089</x:v>
      </x:c>
      <x:c r="C206" t="str">
        <x:v>primary</x:v>
      </x:c>
    </x:row>
    <x:row r="207">
      <x:c r="A207" t="str">
        <x:v>ACT103</x:v>
      </x:c>
      <x:c r="B207" t="str">
        <x:v>SK077</x:v>
      </x:c>
      <x:c r="C207" t="str">
        <x:v>secondary</x:v>
      </x:c>
    </x:row>
    <x:row r="208">
      <x:c r="A208" t="str">
        <x:v>ACT104</x:v>
      </x:c>
      <x:c r="B208" t="str">
        <x:v>SK090</x:v>
      </x:c>
      <x:c r="C208" t="str">
        <x:v>primary</x:v>
      </x:c>
    </x:row>
    <x:row r="209">
      <x:c r="A209" t="str">
        <x:v>ACT104</x:v>
      </x:c>
      <x:c r="B209" t="str">
        <x:v>SK076</x:v>
      </x:c>
      <x:c r="C209" t="str">
        <x:v>secondary</x:v>
      </x:c>
    </x:row>
    <x:row r="210">
      <x:c r="A210" t="str">
        <x:v>ACT105</x:v>
      </x:c>
      <x:c r="B210" t="str">
        <x:v>SK068</x:v>
      </x:c>
      <x:c r="C210" t="str">
        <x:v>primary</x:v>
      </x:c>
    </x:row>
    <x:row r="211">
      <x:c r="A211" t="str">
        <x:v>ACT105</x:v>
      </x:c>
      <x:c r="B211" t="str">
        <x:v>SK073</x:v>
      </x:c>
      <x:c r="C211" t="str">
        <x:v>secondary</x:v>
      </x:c>
    </x:row>
    <x:row r="212">
      <x:c r="A212" t="str">
        <x:v>ACT106</x:v>
      </x:c>
      <x:c r="B212" t="str">
        <x:v>SK073</x:v>
      </x:c>
      <x:c r="C212" t="str">
        <x:v>primary</x:v>
      </x:c>
    </x:row>
    <x:row r="213">
      <x:c r="A213" t="str">
        <x:v>ACT106</x:v>
      </x:c>
      <x:c r="B213" t="str">
        <x:v>SK066</x:v>
      </x:c>
      <x:c r="C213" t="str">
        <x:v>secondary</x:v>
      </x:c>
    </x:row>
    <x:row r="214">
      <x:c r="A214" t="str">
        <x:v>ACT107</x:v>
      </x:c>
      <x:c r="B214" t="str">
        <x:v>SK071</x:v>
      </x:c>
      <x:c r="C214" t="str">
        <x:v>primary</x:v>
      </x:c>
    </x:row>
    <x:row r="215">
      <x:c r="A215" t="str">
        <x:v>ACT107</x:v>
      </x:c>
      <x:c r="B215" t="str">
        <x:v>SK067</x:v>
      </x:c>
      <x:c r="C215" t="str">
        <x:v>secondary</x:v>
      </x:c>
    </x:row>
    <x:row r="216">
      <x:c r="A216" t="str">
        <x:v>ACT108</x:v>
      </x:c>
      <x:c r="B216" t="str">
        <x:v>SK073</x:v>
      </x:c>
      <x:c r="C216" t="str">
        <x:v>primary</x:v>
      </x:c>
    </x:row>
    <x:row r="217">
      <x:c r="A217" t="str">
        <x:v>ACT108</x:v>
      </x:c>
      <x:c r="B217" t="str">
        <x:v>SK086</x:v>
      </x:c>
      <x:c r="C217" t="str">
        <x:v>secondary</x:v>
      </x:c>
    </x:row>
    <x:row r="218">
      <x:c r="A218" t="str">
        <x:v>ACT109</x:v>
      </x:c>
      <x:c r="B218" t="str">
        <x:v>SK072</x:v>
      </x:c>
      <x:c r="C218" t="str">
        <x:v>primary</x:v>
      </x:c>
    </x:row>
    <x:row r="219">
      <x:c r="A219" t="str">
        <x:v>ACT109</x:v>
      </x:c>
      <x:c r="B219" t="str">
        <x:v>SK069</x:v>
      </x:c>
      <x:c r="C219" t="str">
        <x:v>secondary</x:v>
      </x:c>
    </x:row>
    <x:row r="220">
      <x:c r="A220" t="str">
        <x:v>ACT110</x:v>
      </x:c>
      <x:c r="B220" t="str">
        <x:v>SK062</x:v>
      </x:c>
      <x:c r="C220" t="str">
        <x:v>primary</x:v>
      </x:c>
    </x:row>
    <x:row r="221">
      <x:c r="A221" t="str">
        <x:v>ACT110</x:v>
      </x:c>
      <x:c r="B221" t="str">
        <x:v>SK068</x:v>
      </x:c>
      <x:c r="C221" t="str">
        <x:v>secondary</x:v>
      </x:c>
    </x:row>
    <x:row r="222">
      <x:c r="A222" t="str">
        <x:v>ACT111</x:v>
      </x:c>
      <x:c r="B222" t="str">
        <x:v>SK064</x:v>
      </x:c>
      <x:c r="C222" t="str">
        <x:v>primary</x:v>
      </x:c>
    </x:row>
    <x:row r="223">
      <x:c r="A223" t="str">
        <x:v>ACT111</x:v>
      </x:c>
      <x:c r="B223" t="str">
        <x:v>SK065</x:v>
      </x:c>
      <x:c r="C223" t="str">
        <x:v>secondary</x:v>
      </x:c>
    </x:row>
    <x:row r="224">
      <x:c r="A224" t="str">
        <x:v>ACT112</x:v>
      </x:c>
      <x:c r="B224" t="str">
        <x:v>SK067</x:v>
      </x:c>
      <x:c r="C224" t="str">
        <x:v>primary</x:v>
      </x:c>
    </x:row>
    <x:row r="225">
      <x:c r="A225" t="str">
        <x:v>ACT112</x:v>
      </x:c>
      <x:c r="B225" t="str">
        <x:v>SK065</x:v>
      </x:c>
      <x:c r="C225" t="str">
        <x:v>secondary</x:v>
      </x:c>
    </x:row>
    <x:row r="226">
      <x:c r="A226" t="str">
        <x:v>ACT113</x:v>
      </x:c>
      <x:c r="B226" t="str">
        <x:v>SK065</x:v>
      </x:c>
      <x:c r="C226" t="str">
        <x:v>primary</x:v>
      </x:c>
    </x:row>
    <x:row r="227">
      <x:c r="A227" t="str">
        <x:v>ACT113</x:v>
      </x:c>
      <x:c r="B227" t="str">
        <x:v>SK077</x:v>
      </x:c>
      <x:c r="C227" t="str">
        <x:v>secondary</x:v>
      </x:c>
    </x:row>
    <x:row r="228">
      <x:c r="A228" t="str">
        <x:v>ACT114</x:v>
      </x:c>
      <x:c r="B228" t="str">
        <x:v>SK065</x:v>
      </x:c>
      <x:c r="C228" t="str">
        <x:v>primary</x:v>
      </x:c>
    </x:row>
    <x:row r="229">
      <x:c r="A229" t="str">
        <x:v>ACT114</x:v>
      </x:c>
      <x:c r="B229" t="str">
        <x:v>SK077</x:v>
      </x:c>
      <x:c r="C229" t="str">
        <x:v>secondary</x:v>
      </x:c>
    </x:row>
    <x:row r="230">
      <x:c r="A230" t="str">
        <x:v>ACT115</x:v>
      </x:c>
      <x:c r="B230" t="str">
        <x:v>SK066</x:v>
      </x:c>
      <x:c r="C230" t="str">
        <x:v>primary</x:v>
      </x:c>
    </x:row>
    <x:row r="231">
      <x:c r="A231" t="str">
        <x:v>ACT115</x:v>
      </x:c>
      <x:c r="B231" t="str">
        <x:v>SK073</x:v>
      </x:c>
      <x:c r="C231" t="str">
        <x:v>secondary</x:v>
      </x:c>
    </x:row>
    <x:row r="232">
      <x:c r="A232" t="str">
        <x:v>ACT116</x:v>
      </x:c>
      <x:c r="B232" t="str">
        <x:v>SK067</x:v>
      </x:c>
      <x:c r="C232" t="str">
        <x:v>primary</x:v>
      </x:c>
    </x:row>
    <x:row r="233">
      <x:c r="A233" t="str">
        <x:v>ACT116</x:v>
      </x:c>
      <x:c r="B233" t="str">
        <x:v>SK082</x:v>
      </x:c>
      <x:c r="C233" t="str">
        <x:v>secondary</x:v>
      </x:c>
    </x:row>
    <x:row r="234">
      <x:c r="A234" t="str">
        <x:v>ACT117</x:v>
      </x:c>
      <x:c r="B234" t="str">
        <x:v>SK075</x:v>
      </x:c>
      <x:c r="C234" t="str">
        <x:v>primary</x:v>
      </x:c>
    </x:row>
    <x:row r="235">
      <x:c r="A235" t="str">
        <x:v>ACT117</x:v>
      </x:c>
      <x:c r="B235" t="str">
        <x:v>SK076</x:v>
      </x:c>
      <x:c r="C235" t="str">
        <x:v>secondary</x:v>
      </x:c>
    </x:row>
    <x:row r="236">
      <x:c r="A236" t="str">
        <x:v>ACT118</x:v>
      </x:c>
      <x:c r="B236" t="str">
        <x:v>SK075</x:v>
      </x:c>
      <x:c r="C236" t="str">
        <x:v>primary</x:v>
      </x:c>
    </x:row>
    <x:row r="237">
      <x:c r="A237" t="str">
        <x:v>ACT118</x:v>
      </x:c>
      <x:c r="B237" t="str">
        <x:v>SK077</x:v>
      </x:c>
      <x:c r="C237" t="str">
        <x:v>secondary</x:v>
      </x:c>
    </x:row>
    <x:row r="238">
      <x:c r="A238" t="str">
        <x:v>ACT119</x:v>
      </x:c>
      <x:c r="B238" t="str">
        <x:v>SK078</x:v>
      </x:c>
      <x:c r="C238" t="str">
        <x:v>primary</x:v>
      </x:c>
    </x:row>
    <x:row r="239">
      <x:c r="A239" t="str">
        <x:v>ACT119</x:v>
      </x:c>
      <x:c r="B239" t="str">
        <x:v>SK073</x:v>
      </x:c>
      <x:c r="C239" t="str">
        <x:v>secondary</x:v>
      </x:c>
    </x:row>
    <x:row r="240">
      <x:c r="A240" t="str">
        <x:v>ACT120</x:v>
      </x:c>
      <x:c r="B240" t="str">
        <x:v>SK077</x:v>
      </x:c>
      <x:c r="C240" t="str">
        <x:v>primary</x:v>
      </x:c>
    </x:row>
    <x:row r="241">
      <x:c r="A241" t="str">
        <x:v>ACT120</x:v>
      </x:c>
      <x:c r="B241" t="str">
        <x:v>SK075</x:v>
      </x:c>
      <x:c r="C241" t="str">
        <x:v>secondary</x:v>
      </x:c>
    </x:row>
    <x:row r="242">
      <x:c r="A242" t="str">
        <x:v>ACT121</x:v>
      </x:c>
      <x:c r="B242" t="str">
        <x:v>SK074</x:v>
      </x:c>
      <x:c r="C242" t="str">
        <x:v>primary</x:v>
      </x:c>
    </x:row>
    <x:row r="243">
      <x:c r="A243" t="str">
        <x:v>ACT121</x:v>
      </x:c>
      <x:c r="B243" t="str">
        <x:v>SK076</x:v>
      </x:c>
      <x:c r="C243" t="str">
        <x:v>secondary</x:v>
      </x:c>
    </x:row>
    <x:row r="244">
      <x:c r="A244" t="str">
        <x:v>ACT122</x:v>
      </x:c>
      <x:c r="B244" t="str">
        <x:v>SK077</x:v>
      </x:c>
      <x:c r="C244" t="str">
        <x:v>primary</x:v>
      </x:c>
    </x:row>
    <x:row r="245">
      <x:c r="A245" t="str">
        <x:v>ACT122</x:v>
      </x:c>
      <x:c r="B245" t="str">
        <x:v>SK076</x:v>
      </x:c>
      <x:c r="C245" t="str">
        <x:v>secondary</x:v>
      </x:c>
    </x:row>
  </x:sheetData>
  <x:pageMargins left="0.7" right="0.7" top="0.75" bottom="0.75" header="0.3" footer="0.3"/>
  <x:tableParts count="1">
    <x:tablePart xmlns:r="http://schemas.openxmlformats.org/officeDocument/2006/relationships" r:id="R867618a18d994b5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2" hidden="0" customWidth="1"/>
    <x:col min="3" max="3" width="70" hidden="0" customWidth="1"/>
    <x:col min="4" max="4" width="34" hidden="0" customWidth="1"/>
    <x:col min="5" max="5" width="78" hidden="0" customWidth="1"/>
    <x:col min="6" max="6" width="62" hidden="0" customWidth="1"/>
    <x:col min="7" max="7" width="44" hidden="0" customWidth="1"/>
    <x:col min="8" max="8" width="68" hidden="0" customWidth="1"/>
    <x:col min="9" max="9" width="20" hidden="0" customWidth="1"/>
    <x:col min="11" max="11" width="48" hidden="0" customWidth="1"/>
  </x:cols>
  <x:sheetData>
    <x:row r="1">
      <x:c r="A1" s="28" t="str">
        <x:v>rule_id</x:v>
      </x:c>
      <x:c r="B1" s="28" t="str">
        <x:v>rule_name</x:v>
      </x:c>
      <x:c r="C1" s="28" t="str">
        <x:v>trigger</x:v>
      </x:c>
      <x:c r="D1" s="28" t="str">
        <x:v>user_status</x:v>
      </x:c>
      <x:c r="E1" s="28" t="str">
        <x:v>user_message</x:v>
      </x:c>
      <x:c r="F1" s="28" t="str">
        <x:v>recommended_action</x:v>
      </x:c>
      <x:c r="G1" s="28" t="str">
        <x:v>source_refs</x:v>
      </x:c>
      <x:c r="H1" s="28" t="str">
        <x:v>guardrail</x:v>
      </x:c>
      <x:c r="I1" s="28" t="str">
        <x:v>review_status</x:v>
      </x:c>
      <x:c r="K1" s="34" t="str">
        <x:v>LEGACY NOTE</x:v>
      </x:c>
    </x:row>
    <x:row r="2">
      <x:c r="A2" s="34" t="str">
        <x:v>RISK001</x:v>
      </x:c>
      <x:c r="B2" s="34" t="str">
        <x:v>Kehilangan kemampuan yang sebelumnya pernah dicatat</x:v>
      </x:c>
      <x:c r="C2" s="34" t="str">
        <x:v>User secara eksplisit memilih bahwa kemampuan yang dulu terlihat kini tidak lagi terlihat.</x:v>
      </x:c>
      <x:c r="D2" s="34" t="str">
        <x:v>Baik dibahas dengan tenaga kesehatan</x:v>
      </x:c>
      <x:c r="E2" s="34" t="str">
        <x:v>Catatan kehilangan kemampuan adalah informasi penting untuk dibahas dengan tenaga kesehatan. Fitur ini bukan diagnosis.</x:v>
      </x:c>
      <x:c r="F2" s="34" t="str">
        <x:v>Buat ringkasan; sarankan pembahasan dengan tenaga kesehatan tanpa menunggu penilaian aplikasi berikutnya.</x:v>
      </x:c>
      <x:c r="G2" s="34" t="str">
        <x:v>SRC_CDC_2M_2026; SRC_AAP_SURVEILLANCE</x:v>
      </x:c>
      <x:c r="H2" s="34" t="str">
        <x:v>Tidak menghitung probabilitas penyakit/diagnosis.</x:v>
      </x:c>
      <x:c r="I2" s="34" t="str">
        <x:v>source_checked</x:v>
      </x:c>
      <x:c r="K2" s="34" t="str">
        <x:v>Gunakan sheet Risk_Rules_0_12 untuk master MVP.</x:v>
      </x:c>
    </x:row>
    <x:row r="3">
      <x:c r="A3" s="34" t="str">
        <x:v>RISK002</x:v>
      </x:c>
      <x:c r="B3" s="34" t="str">
        <x:v>Kekhawatiran orang tua tercatat</x:v>
      </x:c>
      <x:c r="C3" s="34" t="str">
        <x:v>User membuat concern pada domain perkembangan mana pun.</x:v>
      </x:c>
      <x:c r="D3" s="34" t="str">
        <x:v>Perlu diperhatikan</x:v>
      </x:c>
      <x:c r="E3" s="34" t="str">
        <x:v>Kekhawatiran Ayah/Bunda penting untuk dicatat. Simpan detailnya dan pertimbangkan membahasnya saat konsultasi.</x:v>
      </x:c>
      <x:c r="F3" s="34" t="str">
        <x:v>Simpan concern; tawarkan ringkasan; jangan memberi diagnosis.</x:v>
      </x:c>
      <x:c r="G3" s="34" t="str">
        <x:v>SRC_AAP_SURVEILLANCE</x:v>
      </x:c>
      <x:c r="H3" s="34" t="str">
        <x:v>Parental concern adalah bagian surveillance, bukan hasil screening.</x:v>
      </x:c>
      <x:c r="I3" s="34" t="str">
        <x:v>source_checked</x:v>
      </x:c>
      <x:c r="K3" s="34" t="str">
        <x:v>Sheet ini dipertahankan hanya untuk jejak versi sebelumnya.</x:v>
      </x:c>
    </x:row>
    <x:row r="4">
      <x:c r="A4" s="34" t="str">
        <x:v>RISK003</x:v>
      </x:c>
      <x:c r="B4" s="34" t="str">
        <x:v>Kekhawatiran berulang pada domain sama</x:v>
      </x:c>
      <x:c r="C4" s="34" t="str">
        <x:v>≥2 concern entries pada domain yang sama dalam 14 hari.</x:v>
      </x:c>
      <x:c r="D4" s="34" t="str">
        <x:v>Baik dibahas dengan tenaga kesehatan</x:v>
      </x:c>
      <x:c r="E4" s="34" t="str">
        <x:v>Kekhawatiran yang sama muncul beberapa kali dalam catatan. Membawanya ke tenaga kesehatan dapat membantu pembahasan lebih terarah.</x:v>
      </x:c>
      <x:c r="F4" s="34" t="str">
        <x:v>Buat ringkasan kronologis otomatis.</x:v>
      </x:c>
      <x:c r="G4" s="34" t="str">
        <x:v>SRC_AAP_SURVEILLANCE</x:v>
      </x:c>
      <x:c r="H4" s="34" t="str">
        <x:v>Threshold operasional harus clinical review sebelum production.</x:v>
      </x:c>
      <x:c r="I4" s="34" t="str">
        <x:v>clinical_review</x:v>
      </x:c>
    </x:row>
    <x:row r="5">
      <x:c r="A5" s="34" t="str">
        <x:v>RISK004</x:v>
      </x:c>
      <x:c r="B5" s="34" t="str">
        <x:v>Observasi belum terlihat berulang lintas domain</x:v>
      </x:c>
      <x:c r="C5" s="34" t="str">
        <x:v>≥3 observation items relevan usia pada ≥2 domain, berulang pada ≥2 tanggal terpisah.</x:v>
      </x:c>
      <x:c r="D5" s="34" t="str">
        <x:v>Perlu diperhatikan</x:v>
      </x:c>
      <x:c r="E5" s="34" t="str">
        <x:v>Beberapa hal yang sedang Ayah/Bunda amati belum tercatat terlihat pada beberapa kesempatan. Ini bukan hasil screening; bila ada kekhawatiran, diskusikan dengan tenaga kesehatan.</x:v>
      </x:c>
      <x:c r="F5" s="34" t="str">
        <x:v>Tampilkan konteks + ringkasan; tidak ada label delay.</x:v>
      </x:c>
      <x:c r="G5" s="34" t="str">
        <x:v>SRC_AAP_SURVEILLANCE; SRC_CDC_2M_2026</x:v>
      </x:c>
      <x:c r="H5" s="34" t="str">
        <x:v>Jangan aktifkan sampai threshold, checkpoint usia, dan wording ditinjau klinis.</x:v>
      </x:c>
      <x:c r="I5" s="34" t="str">
        <x:v>clinical_review</x:v>
      </x:c>
    </x:row>
    <x:row r="6">
      <x:c r="A6" s="34" t="str">
        <x:v>RISK005</x:v>
      </x:c>
      <x:c r="B6" s="34" t="str">
        <x:v>Data belum cukup</x:v>
      </x:c>
      <x:c r="C6" s="34" t="str">
        <x:v>Riwayat terlalu sedikit untuk rule lain.</x:v>
      </x:c>
      <x:c r="D6" s="34" t="str">
        <x:v>Belum cukup data</x:v>
      </x:c>
      <x:c r="E6" s="34" t="str">
        <x:v>Belum cukup catatan untuk membuat Sinyal Perhatian.</x:v>
      </x:c>
      <x:c r="F6" s="34" t="str">
        <x:v>Ajak lanjut observasi tanpa memberi label 'risiko rendah'.</x:v>
      </x:c>
      <x:c r="G6" s="34" t="str">
        <x:v>SRC_AAP_SURVEILLANCE</x:v>
      </x:c>
      <x:c r="H6" s="34" t="str">
        <x:v>Mencegah reassurance palsu.</x:v>
      </x:c>
      <x:c r="I6" s="34" t="str">
        <x:v>source_checked</x:v>
      </x:c>
    </x:row>
  </x:sheetData>
  <x:dataValidations count="1">
    <x:dataValidation type="list" sqref="I2:I6">
      <x:formula1>"draft,source_checked,clinical_review,approved"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adce206c7b6480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2" hidden="0" customWidth="1"/>
    <x:col min="4" max="4" width="22" hidden="0" customWidth="1"/>
    <x:col min="5" max="5" width="20" hidden="0" customWidth="1"/>
    <x:col min="6" max="6" width="24" hidden="0" customWidth="1"/>
    <x:col min="7" max="7" width="16" hidden="0" customWidth="1"/>
    <x:col min="8" max="8" width="14" hidden="0" customWidth="1"/>
  </x:cols>
  <x:sheetData>
    <x:row r="1">
      <x:c r="A1" s="52" t="str">
        <x:v>age_month</x:v>
      </x:c>
      <x:c r="B1" s="52" t="str">
        <x:v>Gerak Tubuh</x:v>
      </x:c>
      <x:c r="C1" s="52" t="str">
        <x:v>Tangan &amp; Koordinasi</x:v>
      </x:c>
      <x:c r="D1" s="52" t="str">
        <x:v>Bahasa &amp; Komunikasi</x:v>
      </x:c>
      <x:c r="E1" s="52" t="str">
        <x:v>Sosial &amp; Emosi</x:v>
      </x:c>
      <x:c r="F1" s="52" t="str">
        <x:v>Berpikir &amp; Eksplorasi</x:v>
      </x:c>
      <x:c r="G1" s="52" t="str">
        <x:v>minimum_target</x:v>
      </x:c>
      <x:c r="H1" s="52" t="str">
        <x:v>status</x:v>
      </x:c>
    </x:row>
    <x:row r="2">
      <x:c r="A2" t="n">
        <x:v>0</x:v>
      </x:c>
      <x:c r="B2" t="n">
        <x:f>COUNTIFS(Activities_0_3!$F$2:$F$160,"&lt;="&amp;$A2,Activities_0_3!$G$2:$G$160,"&gt;="&amp;$A2,Activities_0_3!$H$2:$H$160,B$1)+COUNTIFS(Activities_4_6!$F$2:$F$160,"&lt;="&amp;$A2,Activities_4_6!$G$2:$G$160,"&gt;="&amp;$A2,Activities_4_6!$H$2:$H$160,B$1)+COUNTIFS(Activities_7_9!$F$2:$F$160,"&lt;="&amp;$A2,Activities_7_9!$G$2:$G$160,"&gt;="&amp;$A2,Activities_7_9!$H$2:$H$160,B$1)+COUNTIFS(Activities_10_12!$F$2:$F$160,"&lt;="&amp;$A2,Activities_10_12!$G$2:$G$160,"&gt;="&amp;$A2,Activities_10_12!$H$2:$H$160,B$1)</x:f>
        <x:v>4</x:v>
      </x:c>
      <x:c r="C2" t="n">
        <x:f>COUNTIFS(Activities_0_3!$F$2:$F$160,"&lt;="&amp;$A2,Activities_0_3!$G$2:$G$160,"&gt;="&amp;$A2,Activities_0_3!$H$2:$H$160,C$1)+COUNTIFS(Activities_4_6!$F$2:$F$160,"&lt;="&amp;$A2,Activities_4_6!$G$2:$G$160,"&gt;="&amp;$A2,Activities_4_6!$H$2:$H$160,C$1)+COUNTIFS(Activities_7_9!$F$2:$F$160,"&lt;="&amp;$A2,Activities_7_9!$G$2:$G$160,"&gt;="&amp;$A2,Activities_7_9!$H$2:$H$160,C$1)+COUNTIFS(Activities_10_12!$F$2:$F$160,"&lt;="&amp;$A2,Activities_10_12!$G$2:$G$160,"&gt;="&amp;$A2,Activities_10_12!$H$2:$H$160,C$1)</x:f>
        <x:v>2</x:v>
      </x:c>
      <x:c r="D2" t="n">
        <x:f>COUNTIFS(Activities_0_3!$F$2:$F$160,"&lt;="&amp;$A2,Activities_0_3!$G$2:$G$160,"&gt;="&amp;$A2,Activities_0_3!$H$2:$H$160,D$1)+COUNTIFS(Activities_4_6!$F$2:$F$160,"&lt;="&amp;$A2,Activities_4_6!$G$2:$G$160,"&gt;="&amp;$A2,Activities_4_6!$H$2:$H$160,D$1)+COUNTIFS(Activities_7_9!$F$2:$F$160,"&lt;="&amp;$A2,Activities_7_9!$G$2:$G$160,"&gt;="&amp;$A2,Activities_7_9!$H$2:$H$160,D$1)+COUNTIFS(Activities_10_12!$F$2:$F$160,"&lt;="&amp;$A2,Activities_10_12!$G$2:$G$160,"&gt;="&amp;$A2,Activities_10_12!$H$2:$H$160,D$1)</x:f>
        <x:v>3</x:v>
      </x:c>
      <x:c r="E2" t="n">
        <x:f>COUNTIFS(Activities_0_3!$F$2:$F$160,"&lt;="&amp;$A2,Activities_0_3!$G$2:$G$160,"&gt;="&amp;$A2,Activities_0_3!$H$2:$H$160,E$1)+COUNTIFS(Activities_4_6!$F$2:$F$160,"&lt;="&amp;$A2,Activities_4_6!$G$2:$G$160,"&gt;="&amp;$A2,Activities_4_6!$H$2:$H$160,E$1)+COUNTIFS(Activities_7_9!$F$2:$F$160,"&lt;="&amp;$A2,Activities_7_9!$G$2:$G$160,"&gt;="&amp;$A2,Activities_7_9!$H$2:$H$160,E$1)+COUNTIFS(Activities_10_12!$F$2:$F$160,"&lt;="&amp;$A2,Activities_10_12!$G$2:$G$160,"&gt;="&amp;$A2,Activities_10_12!$H$2:$H$160,E$1)</x:f>
        <x:v>4</x:v>
      </x:c>
      <x:c r="F2" t="n">
        <x:f>COUNTIFS(Activities_0_3!$F$2:$F$160,"&lt;="&amp;$A2,Activities_0_3!$G$2:$G$160,"&gt;="&amp;$A2,Activities_0_3!$H$2:$H$160,F$1)+COUNTIFS(Activities_4_6!$F$2:$F$160,"&lt;="&amp;$A2,Activities_4_6!$G$2:$G$160,"&gt;="&amp;$A2,Activities_4_6!$H$2:$H$160,F$1)+COUNTIFS(Activities_7_9!$F$2:$F$160,"&lt;="&amp;$A2,Activities_7_9!$G$2:$G$160,"&gt;="&amp;$A2,Activities_7_9!$H$2:$H$160,F$1)+COUNTIFS(Activities_10_12!$F$2:$F$160,"&lt;="&amp;$A2,Activities_10_12!$G$2:$G$160,"&gt;="&amp;$A2,Activities_10_12!$H$2:$H$160,F$1)</x:f>
        <x:v>4</x:v>
      </x:c>
      <x:c r="G2" t="n">
        <x:v>2</x:v>
      </x:c>
      <x:c r="H2" t="str">
        <x:f>IF(MIN(B2:F2)&gt;=G2,"PASS","GAP")</x:f>
        <x:v>PASS</x:v>
      </x:c>
    </x:row>
    <x:row r="3">
      <x:c r="A3" t="n">
        <x:v>1</x:v>
      </x:c>
      <x:c r="B3" t="n">
        <x:f>COUNTIFS(Activities_0_3!$F$2:$F$160,"&lt;="&amp;$A3,Activities_0_3!$G$2:$G$160,"&gt;="&amp;$A3,Activities_0_3!$H$2:$H$160,B$1)+COUNTIFS(Activities_4_6!$F$2:$F$160,"&lt;="&amp;$A3,Activities_4_6!$G$2:$G$160,"&gt;="&amp;$A3,Activities_4_6!$H$2:$H$160,B$1)+COUNTIFS(Activities_7_9!$F$2:$F$160,"&lt;="&amp;$A3,Activities_7_9!$G$2:$G$160,"&gt;="&amp;$A3,Activities_7_9!$H$2:$H$160,B$1)+COUNTIFS(Activities_10_12!$F$2:$F$160,"&lt;="&amp;$A3,Activities_10_12!$G$2:$G$160,"&gt;="&amp;$A3,Activities_10_12!$H$2:$H$160,B$1)</x:f>
        <x:v>6</x:v>
      </x:c>
      <x:c r="C3" t="n">
        <x:f>COUNTIFS(Activities_0_3!$F$2:$F$160,"&lt;="&amp;$A3,Activities_0_3!$G$2:$G$160,"&gt;="&amp;$A3,Activities_0_3!$H$2:$H$160,C$1)+COUNTIFS(Activities_4_6!$F$2:$F$160,"&lt;="&amp;$A3,Activities_4_6!$G$2:$G$160,"&gt;="&amp;$A3,Activities_4_6!$H$2:$H$160,C$1)+COUNTIFS(Activities_7_9!$F$2:$F$160,"&lt;="&amp;$A3,Activities_7_9!$G$2:$G$160,"&gt;="&amp;$A3,Activities_7_9!$H$2:$H$160,C$1)+COUNTIFS(Activities_10_12!$F$2:$F$160,"&lt;="&amp;$A3,Activities_10_12!$G$2:$G$160,"&gt;="&amp;$A3,Activities_10_12!$H$2:$H$160,C$1)</x:f>
        <x:v>4</x:v>
      </x:c>
      <x:c r="D3" t="n">
        <x:f>COUNTIFS(Activities_0_3!$F$2:$F$160,"&lt;="&amp;$A3,Activities_0_3!$G$2:$G$160,"&gt;="&amp;$A3,Activities_0_3!$H$2:$H$160,D$1)+COUNTIFS(Activities_4_6!$F$2:$F$160,"&lt;="&amp;$A3,Activities_4_6!$G$2:$G$160,"&gt;="&amp;$A3,Activities_4_6!$H$2:$H$160,D$1)+COUNTIFS(Activities_7_9!$F$2:$F$160,"&lt;="&amp;$A3,Activities_7_9!$G$2:$G$160,"&gt;="&amp;$A3,Activities_7_9!$H$2:$H$160,D$1)+COUNTIFS(Activities_10_12!$F$2:$F$160,"&lt;="&amp;$A3,Activities_10_12!$G$2:$G$160,"&gt;="&amp;$A3,Activities_10_12!$H$2:$H$160,D$1)</x:f>
        <x:v>5</x:v>
      </x:c>
      <x:c r="E3" t="n">
        <x:f>COUNTIFS(Activities_0_3!$F$2:$F$160,"&lt;="&amp;$A3,Activities_0_3!$G$2:$G$160,"&gt;="&amp;$A3,Activities_0_3!$H$2:$H$160,E$1)+COUNTIFS(Activities_4_6!$F$2:$F$160,"&lt;="&amp;$A3,Activities_4_6!$G$2:$G$160,"&gt;="&amp;$A3,Activities_4_6!$H$2:$H$160,E$1)+COUNTIFS(Activities_7_9!$F$2:$F$160,"&lt;="&amp;$A3,Activities_7_9!$G$2:$G$160,"&gt;="&amp;$A3,Activities_7_9!$H$2:$H$160,E$1)+COUNTIFS(Activities_10_12!$F$2:$F$160,"&lt;="&amp;$A3,Activities_10_12!$G$2:$G$160,"&gt;="&amp;$A3,Activities_10_12!$H$2:$H$160,E$1)</x:f>
        <x:v>5</x:v>
      </x:c>
      <x:c r="F3" t="n">
        <x:f>COUNTIFS(Activities_0_3!$F$2:$F$160,"&lt;="&amp;$A3,Activities_0_3!$G$2:$G$160,"&gt;="&amp;$A3,Activities_0_3!$H$2:$H$160,F$1)+COUNTIFS(Activities_4_6!$F$2:$F$160,"&lt;="&amp;$A3,Activities_4_6!$G$2:$G$160,"&gt;="&amp;$A3,Activities_4_6!$H$2:$H$160,F$1)+COUNTIFS(Activities_7_9!$F$2:$F$160,"&lt;="&amp;$A3,Activities_7_9!$G$2:$G$160,"&gt;="&amp;$A3,Activities_7_9!$H$2:$H$160,F$1)+COUNTIFS(Activities_10_12!$F$2:$F$160,"&lt;="&amp;$A3,Activities_10_12!$G$2:$G$160,"&gt;="&amp;$A3,Activities_10_12!$H$2:$H$160,F$1)</x:f>
        <x:v>5</x:v>
      </x:c>
      <x:c r="G3" t="n">
        <x:v>2</x:v>
      </x:c>
      <x:c r="H3" t="str">
        <x:f>IF(MIN(B3:F3)&gt;=G3,"PASS","GAP")</x:f>
        <x:v>PASS</x:v>
      </x:c>
    </x:row>
    <x:row r="4">
      <x:c r="A4" t="n">
        <x:v>2</x:v>
      </x:c>
      <x:c r="B4" t="n">
        <x:f>COUNTIFS(Activities_0_3!$F$2:$F$160,"&lt;="&amp;$A4,Activities_0_3!$G$2:$G$160,"&gt;="&amp;$A4,Activities_0_3!$H$2:$H$160,B$1)+COUNTIFS(Activities_4_6!$F$2:$F$160,"&lt;="&amp;$A4,Activities_4_6!$G$2:$G$160,"&gt;="&amp;$A4,Activities_4_6!$H$2:$H$160,B$1)+COUNTIFS(Activities_7_9!$F$2:$F$160,"&lt;="&amp;$A4,Activities_7_9!$G$2:$G$160,"&gt;="&amp;$A4,Activities_7_9!$H$2:$H$160,B$1)+COUNTIFS(Activities_10_12!$F$2:$F$160,"&lt;="&amp;$A4,Activities_10_12!$G$2:$G$160,"&gt;="&amp;$A4,Activities_10_12!$H$2:$H$160,B$1)</x:f>
        <x:v>5</x:v>
      </x:c>
      <x:c r="C4" t="n">
        <x:f>COUNTIFS(Activities_0_3!$F$2:$F$160,"&lt;="&amp;$A4,Activities_0_3!$G$2:$G$160,"&gt;="&amp;$A4,Activities_0_3!$H$2:$H$160,C$1)+COUNTIFS(Activities_4_6!$F$2:$F$160,"&lt;="&amp;$A4,Activities_4_6!$G$2:$G$160,"&gt;="&amp;$A4,Activities_4_6!$H$2:$H$160,C$1)+COUNTIFS(Activities_7_9!$F$2:$F$160,"&lt;="&amp;$A4,Activities_7_9!$G$2:$G$160,"&gt;="&amp;$A4,Activities_7_9!$H$2:$H$160,C$1)+COUNTIFS(Activities_10_12!$F$2:$F$160,"&lt;="&amp;$A4,Activities_10_12!$G$2:$G$160,"&gt;="&amp;$A4,Activities_10_12!$H$2:$H$160,C$1)</x:f>
        <x:v>5</x:v>
      </x:c>
      <x:c r="D4" t="n">
        <x:f>COUNTIFS(Activities_0_3!$F$2:$F$160,"&lt;="&amp;$A4,Activities_0_3!$G$2:$G$160,"&gt;="&amp;$A4,Activities_0_3!$H$2:$H$160,D$1)+COUNTIFS(Activities_4_6!$F$2:$F$160,"&lt;="&amp;$A4,Activities_4_6!$G$2:$G$160,"&gt;="&amp;$A4,Activities_4_6!$H$2:$H$160,D$1)+COUNTIFS(Activities_7_9!$F$2:$F$160,"&lt;="&amp;$A4,Activities_7_9!$G$2:$G$160,"&gt;="&amp;$A4,Activities_7_9!$H$2:$H$160,D$1)+COUNTIFS(Activities_10_12!$F$2:$F$160,"&lt;="&amp;$A4,Activities_10_12!$G$2:$G$160,"&gt;="&amp;$A4,Activities_10_12!$H$2:$H$160,D$1)</x:f>
        <x:v>6</x:v>
      </x:c>
      <x:c r="E4" t="n">
        <x:f>COUNTIFS(Activities_0_3!$F$2:$F$160,"&lt;="&amp;$A4,Activities_0_3!$G$2:$G$160,"&gt;="&amp;$A4,Activities_0_3!$H$2:$H$160,E$1)+COUNTIFS(Activities_4_6!$F$2:$F$160,"&lt;="&amp;$A4,Activities_4_6!$G$2:$G$160,"&gt;="&amp;$A4,Activities_4_6!$H$2:$H$160,E$1)+COUNTIFS(Activities_7_9!$F$2:$F$160,"&lt;="&amp;$A4,Activities_7_9!$G$2:$G$160,"&gt;="&amp;$A4,Activities_7_9!$H$2:$H$160,E$1)+COUNTIFS(Activities_10_12!$F$2:$F$160,"&lt;="&amp;$A4,Activities_10_12!$G$2:$G$160,"&gt;="&amp;$A4,Activities_10_12!$H$2:$H$160,E$1)</x:f>
        <x:v>5</x:v>
      </x:c>
      <x:c r="F4" t="n">
        <x:f>COUNTIFS(Activities_0_3!$F$2:$F$160,"&lt;="&amp;$A4,Activities_0_3!$G$2:$G$160,"&gt;="&amp;$A4,Activities_0_3!$H$2:$H$160,F$1)+COUNTIFS(Activities_4_6!$F$2:$F$160,"&lt;="&amp;$A4,Activities_4_6!$G$2:$G$160,"&gt;="&amp;$A4,Activities_4_6!$H$2:$H$160,F$1)+COUNTIFS(Activities_7_9!$F$2:$F$160,"&lt;="&amp;$A4,Activities_7_9!$G$2:$G$160,"&gt;="&amp;$A4,Activities_7_9!$H$2:$H$160,F$1)+COUNTIFS(Activities_10_12!$F$2:$F$160,"&lt;="&amp;$A4,Activities_10_12!$G$2:$G$160,"&gt;="&amp;$A4,Activities_10_12!$H$2:$H$160,F$1)</x:f>
        <x:v>8</x:v>
      </x:c>
      <x:c r="G4" t="n">
        <x:v>2</x:v>
      </x:c>
      <x:c r="H4" t="str">
        <x:f>IF(MIN(B4:F4)&gt;=G4,"PASS","GAP")</x:f>
        <x:v>PASS</x:v>
      </x:c>
    </x:row>
    <x:row r="5">
      <x:c r="A5" t="n">
        <x:v>3</x:v>
      </x:c>
      <x:c r="B5" t="n">
        <x:f>COUNTIFS(Activities_0_3!$F$2:$F$160,"&lt;="&amp;$A5,Activities_0_3!$G$2:$G$160,"&gt;="&amp;$A5,Activities_0_3!$H$2:$H$160,B$1)+COUNTIFS(Activities_4_6!$F$2:$F$160,"&lt;="&amp;$A5,Activities_4_6!$G$2:$G$160,"&gt;="&amp;$A5,Activities_4_6!$H$2:$H$160,B$1)+COUNTIFS(Activities_7_9!$F$2:$F$160,"&lt;="&amp;$A5,Activities_7_9!$G$2:$G$160,"&gt;="&amp;$A5,Activities_7_9!$H$2:$H$160,B$1)+COUNTIFS(Activities_10_12!$F$2:$F$160,"&lt;="&amp;$A5,Activities_10_12!$G$2:$G$160,"&gt;="&amp;$A5,Activities_10_12!$H$2:$H$160,B$1)</x:f>
        <x:v>4</x:v>
      </x:c>
      <x:c r="C5" t="n">
        <x:f>COUNTIFS(Activities_0_3!$F$2:$F$160,"&lt;="&amp;$A5,Activities_0_3!$G$2:$G$160,"&gt;="&amp;$A5,Activities_0_3!$H$2:$H$160,C$1)+COUNTIFS(Activities_4_6!$F$2:$F$160,"&lt;="&amp;$A5,Activities_4_6!$G$2:$G$160,"&gt;="&amp;$A5,Activities_4_6!$H$2:$H$160,C$1)+COUNTIFS(Activities_7_9!$F$2:$F$160,"&lt;="&amp;$A5,Activities_7_9!$G$2:$G$160,"&gt;="&amp;$A5,Activities_7_9!$H$2:$H$160,C$1)+COUNTIFS(Activities_10_12!$F$2:$F$160,"&lt;="&amp;$A5,Activities_10_12!$G$2:$G$160,"&gt;="&amp;$A5,Activities_10_12!$H$2:$H$160,C$1)</x:f>
        <x:v>5</x:v>
      </x:c>
      <x:c r="D5" t="n">
        <x:f>COUNTIFS(Activities_0_3!$F$2:$F$160,"&lt;="&amp;$A5,Activities_0_3!$G$2:$G$160,"&gt;="&amp;$A5,Activities_0_3!$H$2:$H$160,D$1)+COUNTIFS(Activities_4_6!$F$2:$F$160,"&lt;="&amp;$A5,Activities_4_6!$G$2:$G$160,"&gt;="&amp;$A5,Activities_4_6!$H$2:$H$160,D$1)+COUNTIFS(Activities_7_9!$F$2:$F$160,"&lt;="&amp;$A5,Activities_7_9!$G$2:$G$160,"&gt;="&amp;$A5,Activities_7_9!$H$2:$H$160,D$1)+COUNTIFS(Activities_10_12!$F$2:$F$160,"&lt;="&amp;$A5,Activities_10_12!$G$2:$G$160,"&gt;="&amp;$A5,Activities_10_12!$H$2:$H$160,D$1)</x:f>
        <x:v>6</x:v>
      </x:c>
      <x:c r="E5" t="n">
        <x:f>COUNTIFS(Activities_0_3!$F$2:$F$160,"&lt;="&amp;$A5,Activities_0_3!$G$2:$G$160,"&gt;="&amp;$A5,Activities_0_3!$H$2:$H$160,E$1)+COUNTIFS(Activities_4_6!$F$2:$F$160,"&lt;="&amp;$A5,Activities_4_6!$G$2:$G$160,"&gt;="&amp;$A5,Activities_4_6!$H$2:$H$160,E$1)+COUNTIFS(Activities_7_9!$F$2:$F$160,"&lt;="&amp;$A5,Activities_7_9!$G$2:$G$160,"&gt;="&amp;$A5,Activities_7_9!$H$2:$H$160,E$1)+COUNTIFS(Activities_10_12!$F$2:$F$160,"&lt;="&amp;$A5,Activities_10_12!$G$2:$G$160,"&gt;="&amp;$A5,Activities_10_12!$H$2:$H$160,E$1)</x:f>
        <x:v>5</x:v>
      </x:c>
      <x:c r="F5" t="n">
        <x:f>COUNTIFS(Activities_0_3!$F$2:$F$160,"&lt;="&amp;$A5,Activities_0_3!$G$2:$G$160,"&gt;="&amp;$A5,Activities_0_3!$H$2:$H$160,F$1)+COUNTIFS(Activities_4_6!$F$2:$F$160,"&lt;="&amp;$A5,Activities_4_6!$G$2:$G$160,"&gt;="&amp;$A5,Activities_4_6!$H$2:$H$160,F$1)+COUNTIFS(Activities_7_9!$F$2:$F$160,"&lt;="&amp;$A5,Activities_7_9!$G$2:$G$160,"&gt;="&amp;$A5,Activities_7_9!$H$2:$H$160,F$1)+COUNTIFS(Activities_10_12!$F$2:$F$160,"&lt;="&amp;$A5,Activities_10_12!$G$2:$G$160,"&gt;="&amp;$A5,Activities_10_12!$H$2:$H$160,F$1)</x:f>
        <x:v>6</x:v>
      </x:c>
      <x:c r="G5" t="n">
        <x:v>2</x:v>
      </x:c>
      <x:c r="H5" t="str">
        <x:f>IF(MIN(B5:F5)&gt;=G5,"PASS","GAP")</x:f>
        <x:v>PASS</x:v>
      </x:c>
    </x:row>
    <x:row r="6">
      <x:c r="A6" t="n">
        <x:v>4</x:v>
      </x:c>
      <x:c r="B6" t="n">
        <x:f>COUNTIFS(Activities_0_3!$F$2:$F$160,"&lt;="&amp;$A6,Activities_0_3!$G$2:$G$160,"&gt;="&amp;$A6,Activities_0_3!$H$2:$H$160,B$1)+COUNTIFS(Activities_4_6!$F$2:$F$160,"&lt;="&amp;$A6,Activities_4_6!$G$2:$G$160,"&gt;="&amp;$A6,Activities_4_6!$H$2:$H$160,B$1)+COUNTIFS(Activities_7_9!$F$2:$F$160,"&lt;="&amp;$A6,Activities_7_9!$G$2:$G$160,"&gt;="&amp;$A6,Activities_7_9!$H$2:$H$160,B$1)+COUNTIFS(Activities_10_12!$F$2:$F$160,"&lt;="&amp;$A6,Activities_10_12!$G$2:$G$160,"&gt;="&amp;$A6,Activities_10_12!$H$2:$H$160,B$1)</x:f>
        <x:v>4</x:v>
      </x:c>
      <x:c r="C6" t="n">
        <x:f>COUNTIFS(Activities_0_3!$F$2:$F$160,"&lt;="&amp;$A6,Activities_0_3!$G$2:$G$160,"&gt;="&amp;$A6,Activities_0_3!$H$2:$H$160,C$1)+COUNTIFS(Activities_4_6!$F$2:$F$160,"&lt;="&amp;$A6,Activities_4_6!$G$2:$G$160,"&gt;="&amp;$A6,Activities_4_6!$H$2:$H$160,C$1)+COUNTIFS(Activities_7_9!$F$2:$F$160,"&lt;="&amp;$A6,Activities_7_9!$G$2:$G$160,"&gt;="&amp;$A6,Activities_7_9!$H$2:$H$160,C$1)+COUNTIFS(Activities_10_12!$F$2:$F$160,"&lt;="&amp;$A6,Activities_10_12!$G$2:$G$160,"&gt;="&amp;$A6,Activities_10_12!$H$2:$H$160,C$1)</x:f>
        <x:v>3</x:v>
      </x:c>
      <x:c r="D6" t="n">
        <x:f>COUNTIFS(Activities_0_3!$F$2:$F$160,"&lt;="&amp;$A6,Activities_0_3!$G$2:$G$160,"&gt;="&amp;$A6,Activities_0_3!$H$2:$H$160,D$1)+COUNTIFS(Activities_4_6!$F$2:$F$160,"&lt;="&amp;$A6,Activities_4_6!$G$2:$G$160,"&gt;="&amp;$A6,Activities_4_6!$H$2:$H$160,D$1)+COUNTIFS(Activities_7_9!$F$2:$F$160,"&lt;="&amp;$A6,Activities_7_9!$G$2:$G$160,"&gt;="&amp;$A6,Activities_7_9!$H$2:$H$160,D$1)+COUNTIFS(Activities_10_12!$F$2:$F$160,"&lt;="&amp;$A6,Activities_10_12!$G$2:$G$160,"&gt;="&amp;$A6,Activities_10_12!$H$2:$H$160,D$1)</x:f>
        <x:v>5</x:v>
      </x:c>
      <x:c r="E6" t="n">
        <x:f>COUNTIFS(Activities_0_3!$F$2:$F$160,"&lt;="&amp;$A6,Activities_0_3!$G$2:$G$160,"&gt;="&amp;$A6,Activities_0_3!$H$2:$H$160,E$1)+COUNTIFS(Activities_4_6!$F$2:$F$160,"&lt;="&amp;$A6,Activities_4_6!$G$2:$G$160,"&gt;="&amp;$A6,Activities_4_6!$H$2:$H$160,E$1)+COUNTIFS(Activities_7_9!$F$2:$F$160,"&lt;="&amp;$A6,Activities_7_9!$G$2:$G$160,"&gt;="&amp;$A6,Activities_7_9!$H$2:$H$160,E$1)+COUNTIFS(Activities_10_12!$F$2:$F$160,"&lt;="&amp;$A6,Activities_10_12!$G$2:$G$160,"&gt;="&amp;$A6,Activities_10_12!$H$2:$H$160,E$1)</x:f>
        <x:v>5</x:v>
      </x:c>
      <x:c r="F6" t="n">
        <x:f>COUNTIFS(Activities_0_3!$F$2:$F$160,"&lt;="&amp;$A6,Activities_0_3!$G$2:$G$160,"&gt;="&amp;$A6,Activities_0_3!$H$2:$H$160,F$1)+COUNTIFS(Activities_4_6!$F$2:$F$160,"&lt;="&amp;$A6,Activities_4_6!$G$2:$G$160,"&gt;="&amp;$A6,Activities_4_6!$H$2:$H$160,F$1)+COUNTIFS(Activities_7_9!$F$2:$F$160,"&lt;="&amp;$A6,Activities_7_9!$G$2:$G$160,"&gt;="&amp;$A6,Activities_7_9!$H$2:$H$160,F$1)+COUNTIFS(Activities_10_12!$F$2:$F$160,"&lt;="&amp;$A6,Activities_10_12!$G$2:$G$160,"&gt;="&amp;$A6,Activities_10_12!$H$2:$H$160,F$1)</x:f>
        <x:v>3</x:v>
      </x:c>
      <x:c r="G6" t="n">
        <x:v>2</x:v>
      </x:c>
      <x:c r="H6" t="str">
        <x:f>IF(MIN(B6:F6)&gt;=G6,"PASS","GAP")</x:f>
        <x:v>PASS</x:v>
      </x:c>
    </x:row>
    <x:row r="7">
      <x:c r="A7" t="n">
        <x:v>5</x:v>
      </x:c>
      <x:c r="B7" t="n">
        <x:f>COUNTIFS(Activities_0_3!$F$2:$F$160,"&lt;="&amp;$A7,Activities_0_3!$G$2:$G$160,"&gt;="&amp;$A7,Activities_0_3!$H$2:$H$160,B$1)+COUNTIFS(Activities_4_6!$F$2:$F$160,"&lt;="&amp;$A7,Activities_4_6!$G$2:$G$160,"&gt;="&amp;$A7,Activities_4_6!$H$2:$H$160,B$1)+COUNTIFS(Activities_7_9!$F$2:$F$160,"&lt;="&amp;$A7,Activities_7_9!$G$2:$G$160,"&gt;="&amp;$A7,Activities_7_9!$H$2:$H$160,B$1)+COUNTIFS(Activities_10_12!$F$2:$F$160,"&lt;="&amp;$A7,Activities_10_12!$G$2:$G$160,"&gt;="&amp;$A7,Activities_10_12!$H$2:$H$160,B$1)</x:f>
        <x:v>6</x:v>
      </x:c>
      <x:c r="C7" t="n">
        <x:f>COUNTIFS(Activities_0_3!$F$2:$F$160,"&lt;="&amp;$A7,Activities_0_3!$G$2:$G$160,"&gt;="&amp;$A7,Activities_0_3!$H$2:$H$160,C$1)+COUNTIFS(Activities_4_6!$F$2:$F$160,"&lt;="&amp;$A7,Activities_4_6!$G$2:$G$160,"&gt;="&amp;$A7,Activities_4_6!$H$2:$H$160,C$1)+COUNTIFS(Activities_7_9!$F$2:$F$160,"&lt;="&amp;$A7,Activities_7_9!$G$2:$G$160,"&gt;="&amp;$A7,Activities_7_9!$H$2:$H$160,C$1)+COUNTIFS(Activities_10_12!$F$2:$F$160,"&lt;="&amp;$A7,Activities_10_12!$G$2:$G$160,"&gt;="&amp;$A7,Activities_10_12!$H$2:$H$160,C$1)</x:f>
        <x:v>6</x:v>
      </x:c>
      <x:c r="D7" t="n">
        <x:f>COUNTIFS(Activities_0_3!$F$2:$F$160,"&lt;="&amp;$A7,Activities_0_3!$G$2:$G$160,"&gt;="&amp;$A7,Activities_0_3!$H$2:$H$160,D$1)+COUNTIFS(Activities_4_6!$F$2:$F$160,"&lt;="&amp;$A7,Activities_4_6!$G$2:$G$160,"&gt;="&amp;$A7,Activities_4_6!$H$2:$H$160,D$1)+COUNTIFS(Activities_7_9!$F$2:$F$160,"&lt;="&amp;$A7,Activities_7_9!$G$2:$G$160,"&gt;="&amp;$A7,Activities_7_9!$H$2:$H$160,D$1)+COUNTIFS(Activities_10_12!$F$2:$F$160,"&lt;="&amp;$A7,Activities_10_12!$G$2:$G$160,"&gt;="&amp;$A7,Activities_10_12!$H$2:$H$160,D$1)</x:f>
        <x:v>6</x:v>
      </x:c>
      <x:c r="E7" t="n">
        <x:f>COUNTIFS(Activities_0_3!$F$2:$F$160,"&lt;="&amp;$A7,Activities_0_3!$G$2:$G$160,"&gt;="&amp;$A7,Activities_0_3!$H$2:$H$160,E$1)+COUNTIFS(Activities_4_6!$F$2:$F$160,"&lt;="&amp;$A7,Activities_4_6!$G$2:$G$160,"&gt;="&amp;$A7,Activities_4_6!$H$2:$H$160,E$1)+COUNTIFS(Activities_7_9!$F$2:$F$160,"&lt;="&amp;$A7,Activities_7_9!$G$2:$G$160,"&gt;="&amp;$A7,Activities_7_9!$H$2:$H$160,E$1)+COUNTIFS(Activities_10_12!$F$2:$F$160,"&lt;="&amp;$A7,Activities_10_12!$G$2:$G$160,"&gt;="&amp;$A7,Activities_10_12!$H$2:$H$160,E$1)</x:f>
        <x:v>6</x:v>
      </x:c>
      <x:c r="F7" t="n">
        <x:f>COUNTIFS(Activities_0_3!$F$2:$F$160,"&lt;="&amp;$A7,Activities_0_3!$G$2:$G$160,"&gt;="&amp;$A7,Activities_0_3!$H$2:$H$160,F$1)+COUNTIFS(Activities_4_6!$F$2:$F$160,"&lt;="&amp;$A7,Activities_4_6!$G$2:$G$160,"&gt;="&amp;$A7,Activities_4_6!$H$2:$H$160,F$1)+COUNTIFS(Activities_7_9!$F$2:$F$160,"&lt;="&amp;$A7,Activities_7_9!$G$2:$G$160,"&gt;="&amp;$A7,Activities_7_9!$H$2:$H$160,F$1)+COUNTIFS(Activities_10_12!$F$2:$F$160,"&lt;="&amp;$A7,Activities_10_12!$G$2:$G$160,"&gt;="&amp;$A7,Activities_10_12!$H$2:$H$160,F$1)</x:f>
        <x:v>6</x:v>
      </x:c>
      <x:c r="G7" t="n">
        <x:v>2</x:v>
      </x:c>
      <x:c r="H7" t="str">
        <x:f>IF(MIN(B7:F7)&gt;=G7,"PASS","GAP")</x:f>
        <x:v>PASS</x:v>
      </x:c>
    </x:row>
    <x:row r="8">
      <x:c r="A8" t="n">
        <x:v>6</x:v>
      </x:c>
      <x:c r="B8" t="n">
        <x:f>COUNTIFS(Activities_0_3!$F$2:$F$160,"&lt;="&amp;$A8,Activities_0_3!$G$2:$G$160,"&gt;="&amp;$A8,Activities_0_3!$H$2:$H$160,B$1)+COUNTIFS(Activities_4_6!$F$2:$F$160,"&lt;="&amp;$A8,Activities_4_6!$G$2:$G$160,"&gt;="&amp;$A8,Activities_4_6!$H$2:$H$160,B$1)+COUNTIFS(Activities_7_9!$F$2:$F$160,"&lt;="&amp;$A8,Activities_7_9!$G$2:$G$160,"&gt;="&amp;$A8,Activities_7_9!$H$2:$H$160,B$1)+COUNTIFS(Activities_10_12!$F$2:$F$160,"&lt;="&amp;$A8,Activities_10_12!$G$2:$G$160,"&gt;="&amp;$A8,Activities_10_12!$H$2:$H$160,B$1)</x:f>
        <x:v>6</x:v>
      </x:c>
      <x:c r="C8" t="n">
        <x:f>COUNTIFS(Activities_0_3!$F$2:$F$160,"&lt;="&amp;$A8,Activities_0_3!$G$2:$G$160,"&gt;="&amp;$A8,Activities_0_3!$H$2:$H$160,C$1)+COUNTIFS(Activities_4_6!$F$2:$F$160,"&lt;="&amp;$A8,Activities_4_6!$G$2:$G$160,"&gt;="&amp;$A8,Activities_4_6!$H$2:$H$160,C$1)+COUNTIFS(Activities_7_9!$F$2:$F$160,"&lt;="&amp;$A8,Activities_7_9!$G$2:$G$160,"&gt;="&amp;$A8,Activities_7_9!$H$2:$H$160,C$1)+COUNTIFS(Activities_10_12!$F$2:$F$160,"&lt;="&amp;$A8,Activities_10_12!$G$2:$G$160,"&gt;="&amp;$A8,Activities_10_12!$H$2:$H$160,C$1)</x:f>
        <x:v>5</x:v>
      </x:c>
      <x:c r="D8" t="n">
        <x:f>COUNTIFS(Activities_0_3!$F$2:$F$160,"&lt;="&amp;$A8,Activities_0_3!$G$2:$G$160,"&gt;="&amp;$A8,Activities_0_3!$H$2:$H$160,D$1)+COUNTIFS(Activities_4_6!$F$2:$F$160,"&lt;="&amp;$A8,Activities_4_6!$G$2:$G$160,"&gt;="&amp;$A8,Activities_4_6!$H$2:$H$160,D$1)+COUNTIFS(Activities_7_9!$F$2:$F$160,"&lt;="&amp;$A8,Activities_7_9!$G$2:$G$160,"&gt;="&amp;$A8,Activities_7_9!$H$2:$H$160,D$1)+COUNTIFS(Activities_10_12!$F$2:$F$160,"&lt;="&amp;$A8,Activities_10_12!$G$2:$G$160,"&gt;="&amp;$A8,Activities_10_12!$H$2:$H$160,D$1)</x:f>
        <x:v>5</x:v>
      </x:c>
      <x:c r="E8" t="n">
        <x:f>COUNTIFS(Activities_0_3!$F$2:$F$160,"&lt;="&amp;$A8,Activities_0_3!$G$2:$G$160,"&gt;="&amp;$A8,Activities_0_3!$H$2:$H$160,E$1)+COUNTIFS(Activities_4_6!$F$2:$F$160,"&lt;="&amp;$A8,Activities_4_6!$G$2:$G$160,"&gt;="&amp;$A8,Activities_4_6!$H$2:$H$160,E$1)+COUNTIFS(Activities_7_9!$F$2:$F$160,"&lt;="&amp;$A8,Activities_7_9!$G$2:$G$160,"&gt;="&amp;$A8,Activities_7_9!$H$2:$H$160,E$1)+COUNTIFS(Activities_10_12!$F$2:$F$160,"&lt;="&amp;$A8,Activities_10_12!$G$2:$G$160,"&gt;="&amp;$A8,Activities_10_12!$H$2:$H$160,E$1)</x:f>
        <x:v>6</x:v>
      </x:c>
      <x:c r="F8" t="n">
        <x:f>COUNTIFS(Activities_0_3!$F$2:$F$160,"&lt;="&amp;$A8,Activities_0_3!$G$2:$G$160,"&gt;="&amp;$A8,Activities_0_3!$H$2:$H$160,F$1)+COUNTIFS(Activities_4_6!$F$2:$F$160,"&lt;="&amp;$A8,Activities_4_6!$G$2:$G$160,"&gt;="&amp;$A8,Activities_4_6!$H$2:$H$160,F$1)+COUNTIFS(Activities_7_9!$F$2:$F$160,"&lt;="&amp;$A8,Activities_7_9!$G$2:$G$160,"&gt;="&amp;$A8,Activities_7_9!$H$2:$H$160,F$1)+COUNTIFS(Activities_10_12!$F$2:$F$160,"&lt;="&amp;$A8,Activities_10_12!$G$2:$G$160,"&gt;="&amp;$A8,Activities_10_12!$H$2:$H$160,F$1)</x:f>
        <x:v>6</x:v>
      </x:c>
      <x:c r="G8" t="n">
        <x:v>2</x:v>
      </x:c>
      <x:c r="H8" t="str">
        <x:f>IF(MIN(B8:F8)&gt;=G8,"PASS","GAP")</x:f>
        <x:v>PASS</x:v>
      </x:c>
    </x:row>
    <x:row r="9">
      <x:c r="A9" t="n">
        <x:v>7</x:v>
      </x:c>
      <x:c r="B9" t="n">
        <x:f>COUNTIFS(Activities_0_3!$F$2:$F$160,"&lt;="&amp;$A9,Activities_0_3!$G$2:$G$160,"&gt;="&amp;$A9,Activities_0_3!$H$2:$H$160,B$1)+COUNTIFS(Activities_4_6!$F$2:$F$160,"&lt;="&amp;$A9,Activities_4_6!$G$2:$G$160,"&gt;="&amp;$A9,Activities_4_6!$H$2:$H$160,B$1)+COUNTIFS(Activities_7_9!$F$2:$F$160,"&lt;="&amp;$A9,Activities_7_9!$G$2:$G$160,"&gt;="&amp;$A9,Activities_7_9!$H$2:$H$160,B$1)+COUNTIFS(Activities_10_12!$F$2:$F$160,"&lt;="&amp;$A9,Activities_10_12!$G$2:$G$160,"&gt;="&amp;$A9,Activities_10_12!$H$2:$H$160,B$1)</x:f>
        <x:v>4</x:v>
      </x:c>
      <x:c r="C9" t="n">
        <x:f>COUNTIFS(Activities_0_3!$F$2:$F$160,"&lt;="&amp;$A9,Activities_0_3!$G$2:$G$160,"&gt;="&amp;$A9,Activities_0_3!$H$2:$H$160,C$1)+COUNTIFS(Activities_4_6!$F$2:$F$160,"&lt;="&amp;$A9,Activities_4_6!$G$2:$G$160,"&gt;="&amp;$A9,Activities_4_6!$H$2:$H$160,C$1)+COUNTIFS(Activities_7_9!$F$2:$F$160,"&lt;="&amp;$A9,Activities_7_9!$G$2:$G$160,"&gt;="&amp;$A9,Activities_7_9!$H$2:$H$160,C$1)+COUNTIFS(Activities_10_12!$F$2:$F$160,"&lt;="&amp;$A9,Activities_10_12!$G$2:$G$160,"&gt;="&amp;$A9,Activities_10_12!$H$2:$H$160,C$1)</x:f>
        <x:v>4</x:v>
      </x:c>
      <x:c r="D9" t="n">
        <x:f>COUNTIFS(Activities_0_3!$F$2:$F$160,"&lt;="&amp;$A9,Activities_0_3!$G$2:$G$160,"&gt;="&amp;$A9,Activities_0_3!$H$2:$H$160,D$1)+COUNTIFS(Activities_4_6!$F$2:$F$160,"&lt;="&amp;$A9,Activities_4_6!$G$2:$G$160,"&gt;="&amp;$A9,Activities_4_6!$H$2:$H$160,D$1)+COUNTIFS(Activities_7_9!$F$2:$F$160,"&lt;="&amp;$A9,Activities_7_9!$G$2:$G$160,"&gt;="&amp;$A9,Activities_7_9!$H$2:$H$160,D$1)+COUNTIFS(Activities_10_12!$F$2:$F$160,"&lt;="&amp;$A9,Activities_10_12!$G$2:$G$160,"&gt;="&amp;$A9,Activities_10_12!$H$2:$H$160,D$1)</x:f>
        <x:v>4</x:v>
      </x:c>
      <x:c r="E9" t="n">
        <x:f>COUNTIFS(Activities_0_3!$F$2:$F$160,"&lt;="&amp;$A9,Activities_0_3!$G$2:$G$160,"&gt;="&amp;$A9,Activities_0_3!$H$2:$H$160,E$1)+COUNTIFS(Activities_4_6!$F$2:$F$160,"&lt;="&amp;$A9,Activities_4_6!$G$2:$G$160,"&gt;="&amp;$A9,Activities_4_6!$H$2:$H$160,E$1)+COUNTIFS(Activities_7_9!$F$2:$F$160,"&lt;="&amp;$A9,Activities_7_9!$G$2:$G$160,"&gt;="&amp;$A9,Activities_7_9!$H$2:$H$160,E$1)+COUNTIFS(Activities_10_12!$F$2:$F$160,"&lt;="&amp;$A9,Activities_10_12!$G$2:$G$160,"&gt;="&amp;$A9,Activities_10_12!$H$2:$H$160,E$1)</x:f>
        <x:v>4</x:v>
      </x:c>
      <x:c r="F9" t="n">
        <x:f>COUNTIFS(Activities_0_3!$F$2:$F$160,"&lt;="&amp;$A9,Activities_0_3!$G$2:$G$160,"&gt;="&amp;$A9,Activities_0_3!$H$2:$H$160,F$1)+COUNTIFS(Activities_4_6!$F$2:$F$160,"&lt;="&amp;$A9,Activities_4_6!$G$2:$G$160,"&gt;="&amp;$A9,Activities_4_6!$H$2:$H$160,F$1)+COUNTIFS(Activities_7_9!$F$2:$F$160,"&lt;="&amp;$A9,Activities_7_9!$G$2:$G$160,"&gt;="&amp;$A9,Activities_7_9!$H$2:$H$160,F$1)+COUNTIFS(Activities_10_12!$F$2:$F$160,"&lt;="&amp;$A9,Activities_10_12!$G$2:$G$160,"&gt;="&amp;$A9,Activities_10_12!$H$2:$H$160,F$1)</x:f>
        <x:v>3</x:v>
      </x:c>
      <x:c r="G9" t="n">
        <x:v>2</x:v>
      </x:c>
      <x:c r="H9" t="str">
        <x:f>IF(MIN(B9:F9)&gt;=G9,"PASS","GAP")</x:f>
        <x:v>PASS</x:v>
      </x:c>
    </x:row>
    <x:row r="10">
      <x:c r="A10" t="n">
        <x:v>8</x:v>
      </x:c>
      <x:c r="B10" t="n">
        <x:f>COUNTIFS(Activities_0_3!$F$2:$F$160,"&lt;="&amp;$A10,Activities_0_3!$G$2:$G$160,"&gt;="&amp;$A10,Activities_0_3!$H$2:$H$160,B$1)+COUNTIFS(Activities_4_6!$F$2:$F$160,"&lt;="&amp;$A10,Activities_4_6!$G$2:$G$160,"&gt;="&amp;$A10,Activities_4_6!$H$2:$H$160,B$1)+COUNTIFS(Activities_7_9!$F$2:$F$160,"&lt;="&amp;$A10,Activities_7_9!$G$2:$G$160,"&gt;="&amp;$A10,Activities_7_9!$H$2:$H$160,B$1)+COUNTIFS(Activities_10_12!$F$2:$F$160,"&lt;="&amp;$A10,Activities_10_12!$G$2:$G$160,"&gt;="&amp;$A10,Activities_10_12!$H$2:$H$160,B$1)</x:f>
        <x:v>6</x:v>
      </x:c>
      <x:c r="C10" t="n">
        <x:f>COUNTIFS(Activities_0_3!$F$2:$F$160,"&lt;="&amp;$A10,Activities_0_3!$G$2:$G$160,"&gt;="&amp;$A10,Activities_0_3!$H$2:$H$160,C$1)+COUNTIFS(Activities_4_6!$F$2:$F$160,"&lt;="&amp;$A10,Activities_4_6!$G$2:$G$160,"&gt;="&amp;$A10,Activities_4_6!$H$2:$H$160,C$1)+COUNTIFS(Activities_7_9!$F$2:$F$160,"&lt;="&amp;$A10,Activities_7_9!$G$2:$G$160,"&gt;="&amp;$A10,Activities_7_9!$H$2:$H$160,C$1)+COUNTIFS(Activities_10_12!$F$2:$F$160,"&lt;="&amp;$A10,Activities_10_12!$G$2:$G$160,"&gt;="&amp;$A10,Activities_10_12!$H$2:$H$160,C$1)</x:f>
        <x:v>6</x:v>
      </x:c>
      <x:c r="D10" t="n">
        <x:f>COUNTIFS(Activities_0_3!$F$2:$F$160,"&lt;="&amp;$A10,Activities_0_3!$G$2:$G$160,"&gt;="&amp;$A10,Activities_0_3!$H$2:$H$160,D$1)+COUNTIFS(Activities_4_6!$F$2:$F$160,"&lt;="&amp;$A10,Activities_4_6!$G$2:$G$160,"&gt;="&amp;$A10,Activities_4_6!$H$2:$H$160,D$1)+COUNTIFS(Activities_7_9!$F$2:$F$160,"&lt;="&amp;$A10,Activities_7_9!$G$2:$G$160,"&gt;="&amp;$A10,Activities_7_9!$H$2:$H$160,D$1)+COUNTIFS(Activities_10_12!$F$2:$F$160,"&lt;="&amp;$A10,Activities_10_12!$G$2:$G$160,"&gt;="&amp;$A10,Activities_10_12!$H$2:$H$160,D$1)</x:f>
        <x:v>6</x:v>
      </x:c>
      <x:c r="E10" t="n">
        <x:f>COUNTIFS(Activities_0_3!$F$2:$F$160,"&lt;="&amp;$A10,Activities_0_3!$G$2:$G$160,"&gt;="&amp;$A10,Activities_0_3!$H$2:$H$160,E$1)+COUNTIFS(Activities_4_6!$F$2:$F$160,"&lt;="&amp;$A10,Activities_4_6!$G$2:$G$160,"&gt;="&amp;$A10,Activities_4_6!$H$2:$H$160,E$1)+COUNTIFS(Activities_7_9!$F$2:$F$160,"&lt;="&amp;$A10,Activities_7_9!$G$2:$G$160,"&gt;="&amp;$A10,Activities_7_9!$H$2:$H$160,E$1)+COUNTIFS(Activities_10_12!$F$2:$F$160,"&lt;="&amp;$A10,Activities_10_12!$G$2:$G$160,"&gt;="&amp;$A10,Activities_10_12!$H$2:$H$160,E$1)</x:f>
        <x:v>6</x:v>
      </x:c>
      <x:c r="F10" t="n">
        <x:f>COUNTIFS(Activities_0_3!$F$2:$F$160,"&lt;="&amp;$A10,Activities_0_3!$G$2:$G$160,"&gt;="&amp;$A10,Activities_0_3!$H$2:$H$160,F$1)+COUNTIFS(Activities_4_6!$F$2:$F$160,"&lt;="&amp;$A10,Activities_4_6!$G$2:$G$160,"&gt;="&amp;$A10,Activities_4_6!$H$2:$H$160,F$1)+COUNTIFS(Activities_7_9!$F$2:$F$160,"&lt;="&amp;$A10,Activities_7_9!$G$2:$G$160,"&gt;="&amp;$A10,Activities_7_9!$H$2:$H$160,F$1)+COUNTIFS(Activities_10_12!$F$2:$F$160,"&lt;="&amp;$A10,Activities_10_12!$G$2:$G$160,"&gt;="&amp;$A10,Activities_10_12!$H$2:$H$160,F$1)</x:f>
        <x:v>6</x:v>
      </x:c>
      <x:c r="G10" t="n">
        <x:v>2</x:v>
      </x:c>
      <x:c r="H10" t="str">
        <x:f>IF(MIN(B10:F10)&gt;=G10,"PASS","GAP")</x:f>
        <x:v>PASS</x:v>
      </x:c>
    </x:row>
    <x:row r="11">
      <x:c r="A11" t="n">
        <x:v>9</x:v>
      </x:c>
      <x:c r="B11" t="n">
        <x:f>COUNTIFS(Activities_0_3!$F$2:$F$160,"&lt;="&amp;$A11,Activities_0_3!$G$2:$G$160,"&gt;="&amp;$A11,Activities_0_3!$H$2:$H$160,B$1)+COUNTIFS(Activities_4_6!$F$2:$F$160,"&lt;="&amp;$A11,Activities_4_6!$G$2:$G$160,"&gt;="&amp;$A11,Activities_4_6!$H$2:$H$160,B$1)+COUNTIFS(Activities_7_9!$F$2:$F$160,"&lt;="&amp;$A11,Activities_7_9!$G$2:$G$160,"&gt;="&amp;$A11,Activities_7_9!$H$2:$H$160,B$1)+COUNTIFS(Activities_10_12!$F$2:$F$160,"&lt;="&amp;$A11,Activities_10_12!$G$2:$G$160,"&gt;="&amp;$A11,Activities_10_12!$H$2:$H$160,B$1)</x:f>
        <x:v>6</x:v>
      </x:c>
      <x:c r="C11" t="n">
        <x:f>COUNTIFS(Activities_0_3!$F$2:$F$160,"&lt;="&amp;$A11,Activities_0_3!$G$2:$G$160,"&gt;="&amp;$A11,Activities_0_3!$H$2:$H$160,C$1)+COUNTIFS(Activities_4_6!$F$2:$F$160,"&lt;="&amp;$A11,Activities_4_6!$G$2:$G$160,"&gt;="&amp;$A11,Activities_4_6!$H$2:$H$160,C$1)+COUNTIFS(Activities_7_9!$F$2:$F$160,"&lt;="&amp;$A11,Activities_7_9!$G$2:$G$160,"&gt;="&amp;$A11,Activities_7_9!$H$2:$H$160,C$1)+COUNTIFS(Activities_10_12!$F$2:$F$160,"&lt;="&amp;$A11,Activities_10_12!$G$2:$G$160,"&gt;="&amp;$A11,Activities_10_12!$H$2:$H$160,C$1)</x:f>
        <x:v>6</x:v>
      </x:c>
      <x:c r="D11" t="n">
        <x:f>COUNTIFS(Activities_0_3!$F$2:$F$160,"&lt;="&amp;$A11,Activities_0_3!$G$2:$G$160,"&gt;="&amp;$A11,Activities_0_3!$H$2:$H$160,D$1)+COUNTIFS(Activities_4_6!$F$2:$F$160,"&lt;="&amp;$A11,Activities_4_6!$G$2:$G$160,"&gt;="&amp;$A11,Activities_4_6!$H$2:$H$160,D$1)+COUNTIFS(Activities_7_9!$F$2:$F$160,"&lt;="&amp;$A11,Activities_7_9!$G$2:$G$160,"&gt;="&amp;$A11,Activities_7_9!$H$2:$H$160,D$1)+COUNTIFS(Activities_10_12!$F$2:$F$160,"&lt;="&amp;$A11,Activities_10_12!$G$2:$G$160,"&gt;="&amp;$A11,Activities_10_12!$H$2:$H$160,D$1)</x:f>
        <x:v>6</x:v>
      </x:c>
      <x:c r="E11" t="n">
        <x:f>COUNTIFS(Activities_0_3!$F$2:$F$160,"&lt;="&amp;$A11,Activities_0_3!$G$2:$G$160,"&gt;="&amp;$A11,Activities_0_3!$H$2:$H$160,E$1)+COUNTIFS(Activities_4_6!$F$2:$F$160,"&lt;="&amp;$A11,Activities_4_6!$G$2:$G$160,"&gt;="&amp;$A11,Activities_4_6!$H$2:$H$160,E$1)+COUNTIFS(Activities_7_9!$F$2:$F$160,"&lt;="&amp;$A11,Activities_7_9!$G$2:$G$160,"&gt;="&amp;$A11,Activities_7_9!$H$2:$H$160,E$1)+COUNTIFS(Activities_10_12!$F$2:$F$160,"&lt;="&amp;$A11,Activities_10_12!$G$2:$G$160,"&gt;="&amp;$A11,Activities_10_12!$H$2:$H$160,E$1)</x:f>
        <x:v>6</x:v>
      </x:c>
      <x:c r="F11" t="n">
        <x:f>COUNTIFS(Activities_0_3!$F$2:$F$160,"&lt;="&amp;$A11,Activities_0_3!$G$2:$G$160,"&gt;="&amp;$A11,Activities_0_3!$H$2:$H$160,F$1)+COUNTIFS(Activities_4_6!$F$2:$F$160,"&lt;="&amp;$A11,Activities_4_6!$G$2:$G$160,"&gt;="&amp;$A11,Activities_4_6!$H$2:$H$160,F$1)+COUNTIFS(Activities_7_9!$F$2:$F$160,"&lt;="&amp;$A11,Activities_7_9!$G$2:$G$160,"&gt;="&amp;$A11,Activities_7_9!$H$2:$H$160,F$1)+COUNTIFS(Activities_10_12!$F$2:$F$160,"&lt;="&amp;$A11,Activities_10_12!$G$2:$G$160,"&gt;="&amp;$A11,Activities_10_12!$H$2:$H$160,F$1)</x:f>
        <x:v>6</x:v>
      </x:c>
      <x:c r="G11" t="n">
        <x:v>2</x:v>
      </x:c>
      <x:c r="H11" t="str">
        <x:f>IF(MIN(B11:F11)&gt;=G11,"PASS","GAP")</x:f>
        <x:v>PASS</x:v>
      </x:c>
    </x:row>
    <x:row r="12">
      <x:c r="A12" t="n">
        <x:v>10</x:v>
      </x:c>
      <x:c r="B12" t="n">
        <x:f>COUNTIFS(Activities_0_3!$F$2:$F$160,"&lt;="&amp;$A12,Activities_0_3!$G$2:$G$160,"&gt;="&amp;$A12,Activities_0_3!$H$2:$H$160,B$1)+COUNTIFS(Activities_4_6!$F$2:$F$160,"&lt;="&amp;$A12,Activities_4_6!$G$2:$G$160,"&gt;="&amp;$A12,Activities_4_6!$H$2:$H$160,B$1)+COUNTIFS(Activities_7_9!$F$2:$F$160,"&lt;="&amp;$A12,Activities_7_9!$G$2:$G$160,"&gt;="&amp;$A12,Activities_7_9!$H$2:$H$160,B$1)+COUNTIFS(Activities_10_12!$F$2:$F$160,"&lt;="&amp;$A12,Activities_10_12!$G$2:$G$160,"&gt;="&amp;$A12,Activities_10_12!$H$2:$H$160,B$1)</x:f>
        <x:v>3</x:v>
      </x:c>
      <x:c r="C12" t="n">
        <x:f>COUNTIFS(Activities_0_3!$F$2:$F$160,"&lt;="&amp;$A12,Activities_0_3!$G$2:$G$160,"&gt;="&amp;$A12,Activities_0_3!$H$2:$H$160,C$1)+COUNTIFS(Activities_4_6!$F$2:$F$160,"&lt;="&amp;$A12,Activities_4_6!$G$2:$G$160,"&gt;="&amp;$A12,Activities_4_6!$H$2:$H$160,C$1)+COUNTIFS(Activities_7_9!$F$2:$F$160,"&lt;="&amp;$A12,Activities_7_9!$G$2:$G$160,"&gt;="&amp;$A12,Activities_7_9!$H$2:$H$160,C$1)+COUNTIFS(Activities_10_12!$F$2:$F$160,"&lt;="&amp;$A12,Activities_10_12!$G$2:$G$160,"&gt;="&amp;$A12,Activities_10_12!$H$2:$H$160,C$1)</x:f>
        <x:v>5</x:v>
      </x:c>
      <x:c r="D12" t="n">
        <x:f>COUNTIFS(Activities_0_3!$F$2:$F$160,"&lt;="&amp;$A12,Activities_0_3!$G$2:$G$160,"&gt;="&amp;$A12,Activities_0_3!$H$2:$H$160,D$1)+COUNTIFS(Activities_4_6!$F$2:$F$160,"&lt;="&amp;$A12,Activities_4_6!$G$2:$G$160,"&gt;="&amp;$A12,Activities_4_6!$H$2:$H$160,D$1)+COUNTIFS(Activities_7_9!$F$2:$F$160,"&lt;="&amp;$A12,Activities_7_9!$G$2:$G$160,"&gt;="&amp;$A12,Activities_7_9!$H$2:$H$160,D$1)+COUNTIFS(Activities_10_12!$F$2:$F$160,"&lt;="&amp;$A12,Activities_10_12!$G$2:$G$160,"&gt;="&amp;$A12,Activities_10_12!$H$2:$H$160,D$1)</x:f>
        <x:v>4</x:v>
      </x:c>
      <x:c r="E12" t="n">
        <x:f>COUNTIFS(Activities_0_3!$F$2:$F$160,"&lt;="&amp;$A12,Activities_0_3!$G$2:$G$160,"&gt;="&amp;$A12,Activities_0_3!$H$2:$H$160,E$1)+COUNTIFS(Activities_4_6!$F$2:$F$160,"&lt;="&amp;$A12,Activities_4_6!$G$2:$G$160,"&gt;="&amp;$A12,Activities_4_6!$H$2:$H$160,E$1)+COUNTIFS(Activities_7_9!$F$2:$F$160,"&lt;="&amp;$A12,Activities_7_9!$G$2:$G$160,"&gt;="&amp;$A12,Activities_7_9!$H$2:$H$160,E$1)+COUNTIFS(Activities_10_12!$F$2:$F$160,"&lt;="&amp;$A12,Activities_10_12!$G$2:$G$160,"&gt;="&amp;$A12,Activities_10_12!$H$2:$H$160,E$1)</x:f>
        <x:v>5</x:v>
      </x:c>
      <x:c r="F12" t="n">
        <x:f>COUNTIFS(Activities_0_3!$F$2:$F$160,"&lt;="&amp;$A12,Activities_0_3!$G$2:$G$160,"&gt;="&amp;$A12,Activities_0_3!$H$2:$H$160,F$1)+COUNTIFS(Activities_4_6!$F$2:$F$160,"&lt;="&amp;$A12,Activities_4_6!$G$2:$G$160,"&gt;="&amp;$A12,Activities_4_6!$H$2:$H$160,F$1)+COUNTIFS(Activities_7_9!$F$2:$F$160,"&lt;="&amp;$A12,Activities_7_9!$G$2:$G$160,"&gt;="&amp;$A12,Activities_7_9!$H$2:$H$160,F$1)+COUNTIFS(Activities_10_12!$F$2:$F$160,"&lt;="&amp;$A12,Activities_10_12!$G$2:$G$160,"&gt;="&amp;$A12,Activities_10_12!$H$2:$H$160,F$1)</x:f>
        <x:v>4</x:v>
      </x:c>
      <x:c r="G12" t="n">
        <x:v>2</x:v>
      </x:c>
      <x:c r="H12" t="str">
        <x:f>IF(MIN(B12:F12)&gt;=G12,"PASS","GAP")</x:f>
        <x:v>PASS</x:v>
      </x:c>
    </x:row>
    <x:row r="13">
      <x:c r="A13" t="n">
        <x:v>11</x:v>
      </x:c>
      <x:c r="B13" t="n">
        <x:f>COUNTIFS(Activities_0_3!$F$2:$F$160,"&lt;="&amp;$A13,Activities_0_3!$G$2:$G$160,"&gt;="&amp;$A13,Activities_0_3!$H$2:$H$160,B$1)+COUNTIFS(Activities_4_6!$F$2:$F$160,"&lt;="&amp;$A13,Activities_4_6!$G$2:$G$160,"&gt;="&amp;$A13,Activities_4_6!$H$2:$H$160,B$1)+COUNTIFS(Activities_7_9!$F$2:$F$160,"&lt;="&amp;$A13,Activities_7_9!$G$2:$G$160,"&gt;="&amp;$A13,Activities_7_9!$H$2:$H$160,B$1)+COUNTIFS(Activities_10_12!$F$2:$F$160,"&lt;="&amp;$A13,Activities_10_12!$G$2:$G$160,"&gt;="&amp;$A13,Activities_10_12!$H$2:$H$160,B$1)</x:f>
        <x:v>6</x:v>
      </x:c>
      <x:c r="C13" t="n">
        <x:f>COUNTIFS(Activities_0_3!$F$2:$F$160,"&lt;="&amp;$A13,Activities_0_3!$G$2:$G$160,"&gt;="&amp;$A13,Activities_0_3!$H$2:$H$160,C$1)+COUNTIFS(Activities_4_6!$F$2:$F$160,"&lt;="&amp;$A13,Activities_4_6!$G$2:$G$160,"&gt;="&amp;$A13,Activities_4_6!$H$2:$H$160,C$1)+COUNTIFS(Activities_7_9!$F$2:$F$160,"&lt;="&amp;$A13,Activities_7_9!$G$2:$G$160,"&gt;="&amp;$A13,Activities_7_9!$H$2:$H$160,C$1)+COUNTIFS(Activities_10_12!$F$2:$F$160,"&lt;="&amp;$A13,Activities_10_12!$G$2:$G$160,"&gt;="&amp;$A13,Activities_10_12!$H$2:$H$160,C$1)</x:f>
        <x:v>6</x:v>
      </x:c>
      <x:c r="D13" t="n">
        <x:f>COUNTIFS(Activities_0_3!$F$2:$F$160,"&lt;="&amp;$A13,Activities_0_3!$G$2:$G$160,"&gt;="&amp;$A13,Activities_0_3!$H$2:$H$160,D$1)+COUNTIFS(Activities_4_6!$F$2:$F$160,"&lt;="&amp;$A13,Activities_4_6!$G$2:$G$160,"&gt;="&amp;$A13,Activities_4_6!$H$2:$H$160,D$1)+COUNTIFS(Activities_7_9!$F$2:$F$160,"&lt;="&amp;$A13,Activities_7_9!$G$2:$G$160,"&gt;="&amp;$A13,Activities_7_9!$H$2:$H$160,D$1)+COUNTIFS(Activities_10_12!$F$2:$F$160,"&lt;="&amp;$A13,Activities_10_12!$G$2:$G$160,"&gt;="&amp;$A13,Activities_10_12!$H$2:$H$160,D$1)</x:f>
        <x:v>6</x:v>
      </x:c>
      <x:c r="E13" t="n">
        <x:f>COUNTIFS(Activities_0_3!$F$2:$F$160,"&lt;="&amp;$A13,Activities_0_3!$G$2:$G$160,"&gt;="&amp;$A13,Activities_0_3!$H$2:$H$160,E$1)+COUNTIFS(Activities_4_6!$F$2:$F$160,"&lt;="&amp;$A13,Activities_4_6!$G$2:$G$160,"&gt;="&amp;$A13,Activities_4_6!$H$2:$H$160,E$1)+COUNTIFS(Activities_7_9!$F$2:$F$160,"&lt;="&amp;$A13,Activities_7_9!$G$2:$G$160,"&gt;="&amp;$A13,Activities_7_9!$H$2:$H$160,E$1)+COUNTIFS(Activities_10_12!$F$2:$F$160,"&lt;="&amp;$A13,Activities_10_12!$G$2:$G$160,"&gt;="&amp;$A13,Activities_10_12!$H$2:$H$160,E$1)</x:f>
        <x:v>6</x:v>
      </x:c>
      <x:c r="F13" t="n">
        <x:f>COUNTIFS(Activities_0_3!$F$2:$F$160,"&lt;="&amp;$A13,Activities_0_3!$G$2:$G$160,"&gt;="&amp;$A13,Activities_0_3!$H$2:$H$160,F$1)+COUNTIFS(Activities_4_6!$F$2:$F$160,"&lt;="&amp;$A13,Activities_4_6!$G$2:$G$160,"&gt;="&amp;$A13,Activities_4_6!$H$2:$H$160,F$1)+COUNTIFS(Activities_7_9!$F$2:$F$160,"&lt;="&amp;$A13,Activities_7_9!$G$2:$G$160,"&gt;="&amp;$A13,Activities_7_9!$H$2:$H$160,F$1)+COUNTIFS(Activities_10_12!$F$2:$F$160,"&lt;="&amp;$A13,Activities_10_12!$G$2:$G$160,"&gt;="&amp;$A13,Activities_10_12!$H$2:$H$160,F$1)</x:f>
        <x:v>6</x:v>
      </x:c>
      <x:c r="G13" t="n">
        <x:v>2</x:v>
      </x:c>
      <x:c r="H13" t="str">
        <x:f>IF(MIN(B13:F13)&gt;=G13,"PASS","GAP")</x:f>
        <x:v>PASS</x:v>
      </x:c>
    </x:row>
    <x:row r="14">
      <x:c r="A14" t="n">
        <x:v>12</x:v>
      </x:c>
      <x:c r="B14" t="n">
        <x:f>COUNTIFS(Activities_0_3!$F$2:$F$160,"&lt;="&amp;$A14,Activities_0_3!$G$2:$G$160,"&gt;="&amp;$A14,Activities_0_3!$H$2:$H$160,B$1)+COUNTIFS(Activities_4_6!$F$2:$F$160,"&lt;="&amp;$A14,Activities_4_6!$G$2:$G$160,"&gt;="&amp;$A14,Activities_4_6!$H$2:$H$160,B$1)+COUNTIFS(Activities_7_9!$F$2:$F$160,"&lt;="&amp;$A14,Activities_7_9!$G$2:$G$160,"&gt;="&amp;$A14,Activities_7_9!$H$2:$H$160,B$1)+COUNTIFS(Activities_10_12!$F$2:$F$160,"&lt;="&amp;$A14,Activities_10_12!$G$2:$G$160,"&gt;="&amp;$A14,Activities_10_12!$H$2:$H$160,B$1)</x:f>
        <x:v>6</x:v>
      </x:c>
      <x:c r="C14" t="n">
        <x:f>COUNTIFS(Activities_0_3!$F$2:$F$160,"&lt;="&amp;$A14,Activities_0_3!$G$2:$G$160,"&gt;="&amp;$A14,Activities_0_3!$H$2:$H$160,C$1)+COUNTIFS(Activities_4_6!$F$2:$F$160,"&lt;="&amp;$A14,Activities_4_6!$G$2:$G$160,"&gt;="&amp;$A14,Activities_4_6!$H$2:$H$160,C$1)+COUNTIFS(Activities_7_9!$F$2:$F$160,"&lt;="&amp;$A14,Activities_7_9!$G$2:$G$160,"&gt;="&amp;$A14,Activities_7_9!$H$2:$H$160,C$1)+COUNTIFS(Activities_10_12!$F$2:$F$160,"&lt;="&amp;$A14,Activities_10_12!$G$2:$G$160,"&gt;="&amp;$A14,Activities_10_12!$H$2:$H$160,C$1)</x:f>
        <x:v>6</x:v>
      </x:c>
      <x:c r="D14" t="n">
        <x:f>COUNTIFS(Activities_0_3!$F$2:$F$160,"&lt;="&amp;$A14,Activities_0_3!$G$2:$G$160,"&gt;="&amp;$A14,Activities_0_3!$H$2:$H$160,D$1)+COUNTIFS(Activities_4_6!$F$2:$F$160,"&lt;="&amp;$A14,Activities_4_6!$G$2:$G$160,"&gt;="&amp;$A14,Activities_4_6!$H$2:$H$160,D$1)+COUNTIFS(Activities_7_9!$F$2:$F$160,"&lt;="&amp;$A14,Activities_7_9!$G$2:$G$160,"&gt;="&amp;$A14,Activities_7_9!$H$2:$H$160,D$1)+COUNTIFS(Activities_10_12!$F$2:$F$160,"&lt;="&amp;$A14,Activities_10_12!$G$2:$G$160,"&gt;="&amp;$A14,Activities_10_12!$H$2:$H$160,D$1)</x:f>
        <x:v>6</x:v>
      </x:c>
      <x:c r="E14" t="n">
        <x:f>COUNTIFS(Activities_0_3!$F$2:$F$160,"&lt;="&amp;$A14,Activities_0_3!$G$2:$G$160,"&gt;="&amp;$A14,Activities_0_3!$H$2:$H$160,E$1)+COUNTIFS(Activities_4_6!$F$2:$F$160,"&lt;="&amp;$A14,Activities_4_6!$G$2:$G$160,"&gt;="&amp;$A14,Activities_4_6!$H$2:$H$160,E$1)+COUNTIFS(Activities_7_9!$F$2:$F$160,"&lt;="&amp;$A14,Activities_7_9!$G$2:$G$160,"&gt;="&amp;$A14,Activities_7_9!$H$2:$H$160,E$1)+COUNTIFS(Activities_10_12!$F$2:$F$160,"&lt;="&amp;$A14,Activities_10_12!$G$2:$G$160,"&gt;="&amp;$A14,Activities_10_12!$H$2:$H$160,E$1)</x:f>
        <x:v>6</x:v>
      </x:c>
      <x:c r="F14" t="n">
        <x:f>COUNTIFS(Activities_0_3!$F$2:$F$160,"&lt;="&amp;$A14,Activities_0_3!$G$2:$G$160,"&gt;="&amp;$A14,Activities_0_3!$H$2:$H$160,F$1)+COUNTIFS(Activities_4_6!$F$2:$F$160,"&lt;="&amp;$A14,Activities_4_6!$G$2:$G$160,"&gt;="&amp;$A14,Activities_4_6!$H$2:$H$160,F$1)+COUNTIFS(Activities_7_9!$F$2:$F$160,"&lt;="&amp;$A14,Activities_7_9!$G$2:$G$160,"&gt;="&amp;$A14,Activities_7_9!$H$2:$H$160,F$1)+COUNTIFS(Activities_10_12!$F$2:$F$160,"&lt;="&amp;$A14,Activities_10_12!$G$2:$G$160,"&gt;="&amp;$A14,Activities_10_12!$H$2:$H$160,F$1)</x:f>
        <x:v>6</x:v>
      </x:c>
      <x:c r="G14" t="n">
        <x:v>2</x:v>
      </x:c>
      <x:c r="H14" t="str">
        <x:f>IF(MIN(B14:F14)&gt;=G14,"PASS","GAP")</x:f>
        <x:v>PASS</x:v>
      </x:c>
    </x:row>
  </x:sheetData>
  <x:conditionalFormatting sqref="B2:F5">
    <x:cfRule type="cellIs" dxfId="0" priority="1" operator="lessThan">
      <x:formula>2</x:formula>
    </x:cfRule>
    <x:cfRule type="cellIs" dxfId="1" priority="2" operator="greaterThanOrEqual">
      <x:formula>2</x:formula>
    </x:cfRule>
  </x:conditionalFormatting>
  <x:conditionalFormatting sqref="B2:F8">
    <x:cfRule type="cellIs" dxfId="2" priority="3" operator="lessThan">
      <x:formula>2</x:formula>
    </x:cfRule>
    <x:cfRule type="cellIs" dxfId="3" priority="4" operator="greaterThanOrEqual">
      <x:formula>2</x:formula>
    </x:cfRule>
  </x:conditionalFormatting>
  <x:conditionalFormatting sqref="H2:H8">
    <x:cfRule type="expression" dxfId="4" priority="5">
      <x:formula>H2="GAP"</x:formula>
    </x:cfRule>
    <x:cfRule type="expression" dxfId="5" priority="6">
      <x:formula>H2="PASS"</x:formula>
    </x:cfRule>
  </x:conditionalFormatting>
  <x:conditionalFormatting sqref="B2:F11">
    <x:cfRule type="cellIs" dxfId="6" priority="7" operator="lessThan">
      <x:formula>2</x:formula>
    </x:cfRule>
    <x:cfRule type="cellIs" dxfId="7" priority="8" operator="greaterThanOrEqual">
      <x:formula>2</x:formula>
    </x:cfRule>
  </x:conditionalFormatting>
  <x:conditionalFormatting sqref="H2:H11">
    <x:cfRule type="expression" dxfId="8" priority="9">
      <x:formula>H2="GAP"</x:formula>
    </x:cfRule>
    <x:cfRule type="expression" dxfId="9" priority="10">
      <x:formula>H2="PASS"</x:formula>
    </x:cfRule>
  </x:conditionalFormatting>
  <x:conditionalFormatting sqref="B2:F14">
    <x:cfRule type="cellIs" dxfId="10" priority="11" operator="lessThan">
      <x:formula>2</x:formula>
    </x:cfRule>
    <x:cfRule type="cellIs" dxfId="11" priority="12" operator="greaterThanOrEqual">
      <x:formula>2</x:formula>
    </x:cfRule>
  </x:conditionalFormatting>
  <x:conditionalFormatting sqref="H2:H14">
    <x:cfRule type="expression" dxfId="12" priority="13">
      <x:formula>H2="GAP"</x:formula>
    </x:cfRule>
    <x:cfRule type="expression" dxfId="13" priority="14">
      <x:formula>H2="PASS"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2" hidden="0" customWidth="1"/>
    <x:col min="3" max="3" width="18" hidden="0" customWidth="1"/>
    <x:col min="4" max="4" width="54" hidden="0" customWidth="1"/>
  </x:cols>
  <x:sheetData>
    <x:row r="1">
      <x:c r="A1" s="28" t="str">
        <x:v>area</x:v>
      </x:c>
      <x:c r="B1" s="28" t="str">
        <x:v>check</x:v>
      </x:c>
      <x:c r="C1" s="28" t="str">
        <x:v>status</x:v>
      </x:c>
      <x:c r="D1" s="28" t="str">
        <x:v>notes</x:v>
      </x:c>
    </x:row>
    <x:row r="2">
      <x:c r="A2" s="34" t="str">
        <x:v>Content</x:v>
      </x:c>
      <x:c r="B2" s="34" t="str">
        <x:v>Semua activity memiliki source_refs</x:v>
      </x:c>
      <x:c r="C2" s="34" t="str">
        <x:v>Pass</x:v>
      </x:c>
      <x:c r="D2" s="34" t="str"/>
    </x:row>
    <x:row r="3">
      <x:c r="A3" s="34" t="str">
        <x:v>Content</x:v>
      </x:c>
      <x:c r="B3" s="34" t="str">
        <x:v>Semua activity memiliki benefit_short + benefit_detail</x:v>
      </x:c>
      <x:c r="C3" s="34" t="str">
        <x:v>Pass</x:v>
      </x:c>
      <x:c r="D3" s="34" t="str"/>
    </x:row>
    <x:row r="4">
      <x:c r="A4" s="34" t="str">
        <x:v>Content</x:v>
      </x:c>
      <x:c r="B4" s="34" t="str">
        <x:v>Semua activity memiliki safety_notes + stop_conditions</x:v>
      </x:c>
      <x:c r="C4" s="34" t="str">
        <x:v>Pass</x:v>
      </x:c>
      <x:c r="D4" s="34" t="str"/>
    </x:row>
    <x:row r="5">
      <x:c r="A5" s="34" t="str">
        <x:v>Claims</x:v>
      </x:c>
      <x:c r="B5" s="34" t="str">
        <x:v>Tidak ada janji IQ/percepatan milestone/pencegahan keterlambatan</x:v>
      </x:c>
      <x:c r="C5" s="34" t="str">
        <x:v>Pass</x:v>
      </x:c>
      <x:c r="D5" s="34" t="str"/>
    </x:row>
    <x:row r="6">
      <x:c r="A6" s="34" t="str">
        <x:v>Coverage</x:v>
      </x:c>
      <x:c r="B6" s="34" t="str">
        <x:v>Setiap bulan 0–3 punya ≥2 activity primer per domain</x:v>
      </x:c>
      <x:c r="C6" s="34" t="str">
        <x:v>Pass</x:v>
      </x:c>
      <x:c r="D6" s="34" t="str">
        <x:v>Coverage_Audit 0–6 seluruhnya PASS.</x:v>
      </x:c>
    </x:row>
    <x:row r="7">
      <x:c r="A7" s="34" t="str">
        <x:v>Age mapping</x:v>
      </x:c>
      <x:c r="B7" s="34" t="str">
        <x:v>Rentang usia sesuai sumber dan clinical review</x:v>
      </x:c>
      <x:c r="C7" s="34" t="str">
        <x:v>Needs review</x:v>
      </x:c>
      <x:c r="D7" s="34" t="str"/>
    </x:row>
    <x:row r="8">
      <x:c r="A8" s="34" t="str">
        <x:v>Safety</x:v>
      </x:c>
      <x:c r="B8" s="34" t="str">
        <x:v>Tummy time hanya awake+supervised; tidur back-to-sleep</x:v>
      </x:c>
      <x:c r="C8" s="34" t="str">
        <x:v>Pass</x:v>
      </x:c>
      <x:c r="D8" s="34" t="str"/>
    </x:row>
    <x:row r="9">
      <x:c r="A9" s="34" t="str">
        <x:v>Safety</x:v>
      </x:c>
      <x:c r="B9" s="34" t="str">
        <x:v>Tidak ada small-part/strangulation hazard</x:v>
      </x:c>
      <x:c r="C9" s="34" t="str">
        <x:v>Pass</x:v>
      </x:c>
      <x:c r="D9" s="34" t="str"/>
    </x:row>
    <x:row r="10">
      <x:c r="A10" s="34" t="str">
        <x:v>Prematurity</x:v>
      </x:c>
      <x:c r="B10" s="34" t="str">
        <x:v>Corrected age + toleransi individual dipertimbangkan</x:v>
      </x:c>
      <x:c r="C10" s="34" t="str">
        <x:v>Needs review</x:v>
      </x:c>
      <x:c r="D10" s="34" t="str"/>
    </x:row>
    <x:row r="11">
      <x:c r="A11" s="34" t="str">
        <x:v>Observation</x:v>
      </x:c>
      <x:c r="B11" s="34" t="str">
        <x:v>Skill tidak dipakai sebagai diagnosis/skor anak</x:v>
      </x:c>
      <x:c r="C11" s="34" t="str">
        <x:v>Pass</x:v>
      </x:c>
      <x:c r="D11" s="34" t="str"/>
    </x:row>
    <x:row r="12">
      <x:c r="A12" s="34" t="str">
        <x:v>Risk</x:v>
      </x:c>
      <x:c r="B12" s="34" t="str">
        <x:v>Risk rules tidak menghasilkan probability diagnosis</x:v>
      </x:c>
      <x:c r="C12" s="34" t="str">
        <x:v>Pass</x:v>
      </x:c>
      <x:c r="D12" s="34" t="str"/>
    </x:row>
    <x:row r="13">
      <x:c r="A13" s="34" t="str">
        <x:v>Risk</x:v>
      </x:c>
      <x:c r="B13" s="34" t="str">
        <x:v>Rule clinical_review tidak aktif di production</x:v>
      </x:c>
      <x:c r="C13" s="34" t="str">
        <x:v>Pass</x:v>
      </x:c>
      <x:c r="D13" s="34" t="str"/>
    </x:row>
    <x:row r="14">
      <x:c r="A14" s="34" t="str">
        <x:v>Review</x:v>
      </x:c>
      <x:c r="B14" s="34" t="str">
        <x:v>Reviewer klinis mengisi reviewer + last_reviewed_at sebelum approved</x:v>
      </x:c>
      <x:c r="C14" s="34" t="str">
        <x:v>Needs review</x:v>
      </x:c>
      <x:c r="D14" s="34" t="str"/>
    </x:row>
    <x:row r="15">
      <x:c r="A15" t="str">
        <x:v>Batch 4–6</x:v>
      </x:c>
      <x:c r="B15" t="str">
        <x:v>30 aktivitas nyata telah dibuat dengan manfaat, cara, observasi, variasi, safety, stop condition, prematurity note, dan source_refs</x:v>
      </x:c>
      <x:c r="C15" t="str">
        <x:v>Pass</x:v>
      </x:c>
      <x:c r="D15" t="str">
        <x:v>Structural/content completeness checked.</x:v>
      </x:c>
    </x:row>
    <x:row r="16">
      <x:c r="A16" t="str">
        <x:v>Batch 4–6</x:v>
      </x:c>
      <x:c r="B16" t="str">
        <x:v>24 Skill/Observation records telah dibuat dan dipisahkan dari diagnosis/screening</x:v>
      </x:c>
      <x:c r="C16" t="str">
        <x:v>Pass</x:v>
      </x:c>
      <x:c r="D16" t="str">
        <x:v>Semua berstatus source_checked.</x:v>
      </x:c>
    </x:row>
    <x:row r="17">
      <x:c r="A17" t="str">
        <x:v>Coverage</x:v>
      </x:c>
      <x:c r="B17" t="str">
        <x:v>Setiap bulan 4–6 memiliki minimal 2 aktivitas primer di setiap 5 domain</x:v>
      </x:c>
      <x:c r="C17" t="str">
        <x:v>Pass</x:v>
      </x:c>
      <x:c r="D17" t="str">
        <x:v>Coverage_Audit menunjukkan PASS untuk usia 4, 5, dan 6 bulan.</x:v>
      </x:c>
    </x:row>
    <x:row r="18">
      <x:c r="A18" t="str">
        <x:v>Mapping</x:v>
      </x:c>
      <x:c r="B18" t="str">
        <x:v>Setiap aktivitas 4–6 memiliki minimal primary skill mapping</x:v>
      </x:c>
      <x:c r="C18" t="str">
        <x:v>Pass</x:v>
      </x:c>
      <x:c r="D18" t="str">
        <x:v>Activity_Skill_Map telah ditambahkan.</x:v>
      </x:c>
    </x:row>
    <x:row r="19">
      <x:c r="A19" t="str">
        <x:v>Formula</x:v>
      </x:c>
      <x:c r="B19" t="str">
        <x:v>Tidak ada formula error pada audit final</x:v>
      </x:c>
      <x:c r="C19" t="str">
        <x:v>Pass</x:v>
      </x:c>
      <x:c r="D19" t="str">
        <x:v>Formula scan final: 0 error.</x:v>
      </x:c>
    </x:row>
    <x:row r="20">
      <x:c r="A20" t="str">
        <x:v>Clinical</x:v>
      </x:c>
      <x:c r="B20" t="str">
        <x:v>Age mapping, wording manfaat, safety, dan risk thresholds harus direview klinis sebelum status approved</x:v>
      </x:c>
      <x:c r="C20" t="str">
        <x:v>Needs review</x:v>
      </x:c>
      <x:c r="D20" t="str">
        <x:v>Jangan ubah source_checked menjadi approved sebelum review.</x:v>
      </x:c>
    </x:row>
    <x:row r="21">
      <x:c r="A21" t="str">
        <x:v>Batch 7–9</x:v>
      </x:c>
      <x:c r="B21" t="str">
        <x:v>30 aktivitas telah memiliki manfaat, cara, observasi, variasi, safety, stop condition, prematurity note, dan sumber</x:v>
      </x:c>
      <x:c r="C21" t="str">
        <x:v>Pass</x:v>
      </x:c>
      <x:c r="D21" t="str">
        <x:v>Structural completeness checked.</x:v>
      </x:c>
    </x:row>
    <x:row r="22">
      <x:c r="A22" t="str">
        <x:v>Batch 7–9</x:v>
      </x:c>
      <x:c r="B22" t="str">
        <x:v>24 Skill/Observation records telah dibuat</x:v>
      </x:c>
      <x:c r="C22" t="str">
        <x:v>Pass</x:v>
      </x:c>
      <x:c r="D22" t="str">
        <x:v>Semua source_checked; bukan diagnosis/screening.</x:v>
      </x:c>
    </x:row>
    <x:row r="23">
      <x:c r="A23" t="str">
        <x:v>Coverage</x:v>
      </x:c>
      <x:c r="B23" t="str">
        <x:v>Setiap bulan 7–9 minimal 2 aktivitas primer di semua 5 domain</x:v>
      </x:c>
      <x:c r="C23" t="str">
        <x:v>Pass</x:v>
      </x:c>
      <x:c r="D23" t="str">
        <x:v>Coverage_Audit menunjukkan PASS untuk usia 7, 8, dan 9 bulan.</x:v>
      </x:c>
    </x:row>
    <x:row r="24">
      <x:c r="A24" t="str">
        <x:v>Mapping</x:v>
      </x:c>
      <x:c r="B24" t="str">
        <x:v>Setiap aktivitas 7–9 mempunyai primary + secondary skill mapping</x:v>
      </x:c>
      <x:c r="C24" t="str">
        <x:v>Pass</x:v>
      </x:c>
      <x:c r="D24" t="str">
        <x:v>Activity_Skill_Map telah ditambahkan.</x:v>
      </x:c>
    </x:row>
    <x:row r="25">
      <x:c r="A25" t="str">
        <x:v>Safety</x:v>
      </x:c>
      <x:c r="B25" t="str">
        <x:v>Mobilitas 7–9: small parts, button batteries, coins, stairs, unstable furniture, cords, walker diberi guardrail relevan</x:v>
      </x:c>
      <x:c r="C25" t="str">
        <x:v>Pass</x:v>
      </x:c>
      <x:c r="D25" t="str">
        <x:v>Guardrail tersebar pada aktivitas terkait.</x:v>
      </x:c>
    </x:row>
    <x:row r="26">
      <x:c r="A26" t="str">
        <x:v>Clinical</x:v>
      </x:c>
      <x:c r="B26" t="str">
        <x:v>Age mapping dan benefit wording 7–9 perlu clinical review sebelum approved</x:v>
      </x:c>
      <x:c r="C26" t="str">
        <x:v>Needs review</x:v>
      </x:c>
      <x:c r="D26" t="str">
        <x:v>Status tetap source_checked.</x:v>
      </x:c>
    </x:row>
    <x:row r="27">
      <x:c r="A27" t="str">
        <x:v>Batch 10–12</x:v>
      </x:c>
      <x:c r="B27" t="str">
        <x:v>30 aktivitas telah memiliki manfaat, cara, observasi, variasi, safety, stop condition, prematurity note, dan sumber</x:v>
      </x:c>
      <x:c r="C27" t="str">
        <x:v>Pass</x:v>
      </x:c>
      <x:c r="D27" t="str">
        <x:v>Structural completeness checked.</x:v>
      </x:c>
    </x:row>
    <x:row r="28">
      <x:c r="A28" t="str">
        <x:v>Batch 10–12</x:v>
      </x:c>
      <x:c r="B28" t="str">
        <x:v>27 Skill/Observation records telah dibuat</x:v>
      </x:c>
      <x:c r="C28" t="str">
        <x:v>Pass</x:v>
      </x:c>
      <x:c r="D28" t="str">
        <x:v>24 core + 3 activity-observation helper skills; semua source_checked.</x:v>
      </x:c>
    </x:row>
    <x:row r="29">
      <x:c r="A29" t="str">
        <x:v>Coverage</x:v>
      </x:c>
      <x:c r="B29" t="str">
        <x:v>Setiap bulan 10–12 minimal 2 aktivitas primer di semua 5 domain</x:v>
      </x:c>
      <x:c r="C29" t="str">
        <x:v>Pass</x:v>
      </x:c>
      <x:c r="D29" t="str">
        <x:v>Coverage_Audit menunjukkan PASS untuk usia 10, 11, dan 12 bulan.</x:v>
      </x:c>
    </x:row>
    <x:row r="30">
      <x:c r="A30" t="str">
        <x:v>Mapping</x:v>
      </x:c>
      <x:c r="B30" t="str">
        <x:v>Setiap aktivitas 10–12 mempunyai primary + secondary skill mapping</x:v>
      </x:c>
      <x:c r="C30" t="str">
        <x:v>Pass</x:v>
      </x:c>
      <x:c r="D30" t="str">
        <x:v>Activity_Skill_Map telah ditambahkan.</x:v>
      </x:c>
    </x:row>
    <x:row r="31">
      <x:c r="A31" t="str">
        <x:v>Safety</x:v>
      </x:c>
      <x:c r="B31" t="str">
        <x:v>Mobilitas 10–12 memasukkan guardrail furnitur stabil, stair gate, no baby walker, no small parts/button battery exposure</x:v>
      </x:c>
      <x:c r="C31" t="str">
        <x:v>Pass</x:v>
      </x:c>
      <x:c r="D31" t="str">
        <x:v>Diterapkan pada aktivitas relevan.</x:v>
      </x:c>
    </x:row>
    <x:row r="32">
      <x:c r="A32" t="str">
        <x:v>Clinical</x:v>
      </x:c>
      <x:c r="B32" t="str">
        <x:v>Age mapping, feeding-related observations, benefit wording, safety, dan risk rules tetap perlu clinical review sebelum approved</x:v>
      </x:c>
      <x:c r="C32" t="str">
        <x:v>Needs review</x:v>
      </x:c>
      <x:c r="D32" t="str">
        <x:v>Production hanya boleh memakai approved records.</x:v>
      </x:c>
    </x:row>
  </x:sheetData>
  <x:dataValidations count="1">
    <x:dataValidation type="list" sqref="C2:C14">
      <x:formula1>"Pending,Pass,Fail,Needs 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384bf829d58466a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5" hidden="0" customWidth="1"/>
  </x:cols>
  <x:sheetData>
    <x:row r="1">
      <x:c r="A1" s="28" t="str">
        <x:v>Field / Concept</x:v>
      </x:c>
      <x:c r="B1" s="28" t="str">
        <x:v>Definition</x:v>
      </x:c>
    </x:row>
    <x:row r="2">
      <x:c r="A2" s="34" t="str">
        <x:v>source_checked</x:v>
      </x:c>
      <x:c r="B2" s="34" t="str">
        <x:v>Sumber telah dipetakan dan wording konservatif; belum clinical approval.</x:v>
      </x:c>
    </x:row>
    <x:row r="3">
      <x:c r="A3" s="34" t="str">
        <x:v>clinical_review</x:v>
      </x:c>
      <x:c r="B3" s="34" t="str">
        <x:v>Wajib review klinis sebelum production.</x:v>
      </x:c>
    </x:row>
    <x:row r="4">
      <x:c r="A4" s="34" t="str">
        <x:v>approved</x:v>
      </x:c>
      <x:c r="B4" s="34" t="str">
        <x:v>Boleh dikonsumsi engine production setelah reviewer + tanggal review tercatat.</x:v>
      </x:c>
    </x:row>
    <x:row r="5">
      <x:c r="A5" s="34" t="str">
        <x:v>primary_domain</x:v>
      </x:c>
      <x:c r="B5" s="34" t="str">
        <x:v>Domain utama activity untuk coverage/ranking.</x:v>
      </x:c>
    </x:row>
    <x:row r="6">
      <x:c r="A6" s="34" t="str">
        <x:v>secondary_domains</x:v>
      </x:c>
      <x:c r="B6" s="34" t="str">
        <x:v>Domain lain yang ikut terlibat; bukan skor perkembangan.</x:v>
      </x:c>
    </x:row>
    <x:row r="7">
      <x:c r="A7" s="34" t="str">
        <x:v>observe_items</x:v>
      </x:c>
      <x:c r="B7" s="34" t="str">
        <x:v>Hal yang dapat diamati saat bermain; bukan tes lulus/gagal.</x:v>
      </x:c>
    </x:row>
    <x:row r="8">
      <x:c r="A8" s="34" t="str">
        <x:v>benefit_short/detail</x:v>
      </x:c>
      <x:c r="B8" s="34" t="str">
        <x:v>Manfaat sebagai kesempatan melatih/mengeksplorasi/interaksi; bukan jaminan outcome.</x:v>
      </x:c>
    </x:row>
    <x:row r="9">
      <x:c r="A9" s="34" t="str">
        <x:v>risk rule</x:v>
      </x:c>
      <x:c r="B9" s="34" t="str">
        <x:v>Sinyal dari catatan user untuk perhatian/komunikasi; bukan diagnosis/probabilitas penyakit.</x:v>
      </x:c>
    </x:row>
    <x:row r="10">
      <x:c r="A10" s="34" t="str">
        <x:v>age mapping</x:v>
      </x:c>
      <x:c r="B10" s="34" t="str">
        <x:v>Mapping rekomendasi konten internal, bukan usia wajib pencapaian milestone.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2" hidden="0" customWidth="1"/>
    <x:col min="3" max="3" width="22" hidden="0" customWidth="1"/>
    <x:col min="4" max="4" width="14" hidden="0" customWidth="1"/>
    <x:col min="5" max="5" width="14" hidden="0" customWidth="1"/>
    <x:col min="6" max="6" width="25" hidden="0" customWidth="1"/>
    <x:col min="7" max="7" width="64" hidden="0" customWidth="1"/>
    <x:col min="8" max="8" width="46" hidden="0" customWidth="1"/>
    <x:col min="9" max="9" width="62" hidden="0" customWidth="1"/>
    <x:col min="10" max="10" width="18" hidden="0" customWidth="1"/>
  </x:cols>
  <x:sheetData>
    <x:row r="1">
      <x:c r="A1" s="41" t="str">
        <x:v>skill_id</x:v>
      </x:c>
      <x:c r="B1" s="41" t="str">
        <x:v>label</x:v>
      </x:c>
      <x:c r="C1" s="41" t="str">
        <x:v>domain</x:v>
      </x:c>
      <x:c r="D1" s="41" t="str">
        <x:v>min_age_days</x:v>
      </x:c>
      <x:c r="E1" s="41" t="str">
        <x:v>max_age_days</x:v>
      </x:c>
      <x:c r="F1" s="41" t="str">
        <x:v>observation_type</x:v>
      </x:c>
      <x:c r="G1" s="41" t="str">
        <x:v>description</x:v>
      </x:c>
      <x:c r="H1" s="41" t="str">
        <x:v>source_refs</x:v>
      </x:c>
      <x:c r="I1" s="41" t="str">
        <x:v>guardrail_note</x:v>
      </x:c>
      <x:c r="J1" s="41" t="str">
        <x:v>review_status</x:v>
      </x:c>
    </x:row>
    <x:row r="2">
      <x:c r="A2" s="34" t="str">
        <x:v>SK016</x:v>
      </x:c>
      <x:c r="B2" s="34" t="str">
        <x:v>Tersenyum untuk menarik perhatian</x:v>
      </x:c>
      <x:c r="C2" s="34" t="str">
        <x:v>Sosial &amp; Emosi</x:v>
      </x:c>
      <x:c r="D2" s="34" t="n">
        <x:v>121</x:v>
      </x:c>
      <x:c r="E2" s="34" t="n">
        <x:v>180</x:v>
      </x:c>
      <x:c r="F2" s="34" t="str">
        <x:v>milestone/observation</x:v>
      </x:c>
      <x:c r="G2" s="34" t="str">
        <x:v>Si Kecil tersenyum sendiri untuk mendapatkan perhatian caregiver.</x:v>
      </x:c>
      <x:c r="H2" s="34" t="str">
        <x:v>SRC_CDC_4M_2026</x:v>
      </x:c>
      <x:c r="I2" s="34" t="str">
        <x:v>Catat bila terlihat alami; jangan dipancing berulang sebagai tes.</x:v>
      </x:c>
      <x:c r="J2" s="34" t="str">
        <x:v>source_checked</x:v>
      </x:c>
    </x:row>
    <x:row r="3">
      <x:c r="A3" s="34" t="str">
        <x:v>SK017</x:v>
      </x:c>
      <x:c r="B3" s="34" t="str">
        <x:v>Terkekeh saat diajak bermain</x:v>
      </x:c>
      <x:c r="C3" s="34" t="str">
        <x:v>Sosial &amp; Emosi</x:v>
      </x:c>
      <x:c r="D3" s="34" t="n">
        <x:v>121</x:v>
      </x:c>
      <x:c r="E3" s="34" t="n">
        <x:v>180</x:v>
      </x:c>
      <x:c r="F3" s="34" t="str">
        <x:v>milestone/observation</x:v>
      </x:c>
      <x:c r="G3" s="34" t="str">
        <x:v>Si Kecil terkekeh atau menunjukkan respons senang saat caregiver mencoba membuatnya tertawa.</x:v>
      </x:c>
      <x:c r="H3" s="34" t="str">
        <x:v>SRC_CDC_4M_2026</x:v>
      </x:c>
      <x:c r="I3" s="34" t="str">
        <x:v>Respons emosi dipengaruhi mood, lelah, lapar, dan lingkungan.</x:v>
      </x:c>
      <x:c r="J3" s="34" t="str">
        <x:v>source_checked</x:v>
      </x:c>
    </x:row>
    <x:row r="4">
      <x:c r="A4" s="34" t="str">
        <x:v>SK018</x:v>
      </x:c>
      <x:c r="B4" s="34" t="str">
        <x:v>Mencari/menjaga perhatian caregiver</x:v>
      </x:c>
      <x:c r="C4" s="34" t="str">
        <x:v>Sosial &amp; Emosi</x:v>
      </x:c>
      <x:c r="D4" s="34" t="n">
        <x:v>121</x:v>
      </x:c>
      <x:c r="E4" s="34" t="n">
        <x:v>180</x:v>
      </x:c>
      <x:c r="F4" s="34" t="str">
        <x:v>milestone/observation</x:v>
      </x:c>
      <x:c r="G4" s="34" t="str">
        <x:v>Si Kecil melihat, bergerak, atau bersuara untuk mendapatkan atau mempertahankan perhatian.</x:v>
      </x:c>
      <x:c r="H4" s="34" t="str">
        <x:v>SRC_CDC_4M_2026</x:v>
      </x:c>
      <x:c r="I4" s="34" t="str">
        <x:v>Observasi interaksi, bukan ukuran keterikatan.</x:v>
      </x:c>
      <x:c r="J4" s="34" t="str">
        <x:v>source_checked</x:v>
      </x:c>
    </x:row>
    <x:row r="5">
      <x:c r="A5" s="34" t="str">
        <x:v>SK019</x:v>
      </x:c>
      <x:c r="B5" s="34" t="str">
        <x:v>Mengeluarkan suara seperti 'oooo'/'aahh'</x:v>
      </x:c>
      <x:c r="C5" s="34" t="str">
        <x:v>Bahasa &amp; Komunikasi</x:v>
      </x:c>
      <x:c r="D5" s="34" t="n">
        <x:v>121</x:v>
      </x:c>
      <x:c r="E5" s="34" t="n">
        <x:v>180</x:v>
      </x:c>
      <x:c r="F5" s="34" t="str">
        <x:v>milestone/observation</x:v>
      </x:c>
      <x:c r="G5" s="34" t="str">
        <x:v>Si Kecil mengeluarkan cooing atau bunyi vokal sederhana.</x:v>
      </x:c>
      <x:c r="H5" s="34" t="str">
        <x:v>SRC_CDC_4M_2026</x:v>
      </x:c>
      <x:c r="I5" s="34" t="str">
        <x:v>Tidak perlu memaksa bayi meniru bunyi tertentu.</x:v>
      </x:c>
      <x:c r="J5" s="34" t="str">
        <x:v>source_checked</x:v>
      </x:c>
    </x:row>
    <x:row r="6">
      <x:c r="A6" s="34" t="str">
        <x:v>SK020</x:v>
      </x:c>
      <x:c r="B6" s="34" t="str">
        <x:v>Membalas suara caregiver</x:v>
      </x:c>
      <x:c r="C6" s="34" t="str">
        <x:v>Bahasa &amp; Komunikasi</x:v>
      </x:c>
      <x:c r="D6" s="34" t="n">
        <x:v>121</x:v>
      </x:c>
      <x:c r="E6" s="34" t="n">
        <x:v>180</x:v>
      </x:c>
      <x:c r="F6" s="34" t="str">
        <x:v>milestone/observation</x:v>
      </x:c>
      <x:c r="G6" s="34" t="str">
        <x:v>Si Kecil membuat suara kembali ketika caregiver berbicara.</x:v>
      </x:c>
      <x:c r="H6" s="34" t="str">
        <x:v>SRC_CDC_4M_2026</x:v>
      </x:c>
      <x:c r="I6" s="34" t="str">
        <x:v>Berikan jeda agar bayi punya kesempatan merespons.</x:v>
      </x:c>
      <x:c r="J6" s="34" t="str">
        <x:v>source_checked</x:v>
      </x:c>
    </x:row>
    <x:row r="7">
      <x:c r="A7" s="34" t="str">
        <x:v>SK021</x:v>
      </x:c>
      <x:c r="B7" s="34" t="str">
        <x:v>Menoleh ke arah suara caregiver</x:v>
      </x:c>
      <x:c r="C7" s="34" t="str">
        <x:v>Bahasa &amp; Komunikasi</x:v>
      </x:c>
      <x:c r="D7" s="34" t="n">
        <x:v>121</x:v>
      </x:c>
      <x:c r="E7" s="34" t="n">
        <x:v>180</x:v>
      </x:c>
      <x:c r="F7" s="34" t="str">
        <x:v>milestone/observation</x:v>
      </x:c>
      <x:c r="G7" s="34" t="str">
        <x:v>Si Kecil mengarahkan kepala/pandangan ke arah suara caregiver.</x:v>
      </x:c>
      <x:c r="H7" s="34" t="str">
        <x:v>SRC_CDC_4M_2026</x:v>
      </x:c>
      <x:c r="I7" s="34" t="str">
        <x:v>Bukan tes pendengaran; concern pendengaran dibahas dengan tenaga kesehatan.</x:v>
      </x:c>
      <x:c r="J7" s="34" t="str">
        <x:v>source_checked</x:v>
      </x:c>
    </x:row>
    <x:row r="8">
      <x:c r="A8" s="34" t="str">
        <x:v>SK022</x:v>
      </x:c>
      <x:c r="B8" s="34" t="str">
        <x:v>Melihat tangan dengan minat</x:v>
      </x:c>
      <x:c r="C8" s="34" t="str">
        <x:v>Berpikir &amp; Eksplorasi</x:v>
      </x:c>
      <x:c r="D8" s="34" t="n">
        <x:v>121</x:v>
      </x:c>
      <x:c r="E8" s="34" t="n">
        <x:v>180</x:v>
      </x:c>
      <x:c r="F8" s="34" t="str">
        <x:v>milestone/observation</x:v>
      </x:c>
      <x:c r="G8" s="34" t="str">
        <x:v>Si Kecil memperhatikan tangannya sendiri.</x:v>
      </x:c>
      <x:c r="H8" s="34" t="str">
        <x:v>SRC_CDC_4M_2026</x:v>
      </x:c>
      <x:c r="I8" s="34" t="str">
        <x:v>Catat spontan; tidak perlu mempertahankan tangan di depan wajah.</x:v>
      </x:c>
      <x:c r="J8" s="34" t="str">
        <x:v>source_checked</x:v>
      </x:c>
    </x:row>
    <x:row r="9">
      <x:c r="A9" s="34" t="str">
        <x:v>SK023</x:v>
      </x:c>
      <x:c r="B9" s="34" t="str">
        <x:v>Kepala lebih stabil saat digendong tegak</x:v>
      </x:c>
      <x:c r="C9" s="34" t="str">
        <x:v>Gerak Tubuh</x:v>
      </x:c>
      <x:c r="D9" s="34" t="n">
        <x:v>121</x:v>
      </x:c>
      <x:c r="E9" s="34" t="n">
        <x:v>180</x:v>
      </x:c>
      <x:c r="F9" s="34" t="str">
        <x:v>milestone/observation</x:v>
      </x:c>
      <x:c r="G9" s="34" t="str">
        <x:v>Si Kecil dapat menjaga kepala lebih stabil saat tubuh ditopang caregiver.</x:v>
      </x:c>
      <x:c r="H9" s="34" t="str">
        <x:v>SRC_CDC_4M_2026; SRC_AAP_MOVEMENT_4_7</x:v>
      </x:c>
      <x:c r="I9" s="34" t="str">
        <x:v>Jangan menguji dengan melepas dukungan secara mendadak.</x:v>
      </x:c>
      <x:c r="J9" s="34" t="str">
        <x:v>source_checked</x:v>
      </x:c>
    </x:row>
    <x:row r="10">
      <x:c r="A10" s="34" t="str">
        <x:v>SK024</x:v>
      </x:c>
      <x:c r="B10" s="34" t="str">
        <x:v>Memegang mainan yang diletakkan di tangan</x:v>
      </x:c>
      <x:c r="C10" s="34" t="str">
        <x:v>Tangan &amp; Koordinasi</x:v>
      </x:c>
      <x:c r="D10" s="34" t="n">
        <x:v>121</x:v>
      </x:c>
      <x:c r="E10" s="34" t="n">
        <x:v>180</x:v>
      </x:c>
      <x:c r="F10" s="34" t="str">
        <x:v>milestone/observation</x:v>
      </x:c>
      <x:c r="G10" s="34" t="str">
        <x:v>Si Kecil mempertahankan genggaman pada mainan ringan yang diberikan ke tangan.</x:v>
      </x:c>
      <x:c r="H10" s="34" t="str">
        <x:v>SRC_CDC_4M_2026</x:v>
      </x:c>
      <x:c r="I10" s="34" t="str">
        <x:v>Gunakan benda besar, ringan, dan aman.</x:v>
      </x:c>
      <x:c r="J10" s="34" t="str">
        <x:v>source_checked</x:v>
      </x:c>
    </x:row>
    <x:row r="11">
      <x:c r="A11" s="34" t="str">
        <x:v>SK025</x:v>
      </x:c>
      <x:c r="B11" s="34" t="str">
        <x:v>Mengayunkan lengan ke arah mainan</x:v>
      </x:c>
      <x:c r="C11" s="34" t="str">
        <x:v>Tangan &amp; Koordinasi</x:v>
      </x:c>
      <x:c r="D11" s="34" t="n">
        <x:v>121</x:v>
      </x:c>
      <x:c r="E11" s="34" t="n">
        <x:v>180</x:v>
      </x:c>
      <x:c r="F11" s="34" t="str">
        <x:v>milestone/observation</x:v>
      </x:c>
      <x:c r="G11" s="34" t="str">
        <x:v>Si Kecil menggunakan lengan untuk menyentuh atau mengayun ke arah mainan.</x:v>
      </x:c>
      <x:c r="H11" s="34" t="str">
        <x:v>SRC_CDC_4M_2026</x:v>
      </x:c>
      <x:c r="I11" s="34" t="str">
        <x:v>Bukan target presisi; cukup catat upaya alami.</x:v>
      </x:c>
      <x:c r="J11" s="34" t="str">
        <x:v>source_checked</x:v>
      </x:c>
    </x:row>
    <x:row r="12">
      <x:c r="A12" s="34" t="str">
        <x:v>SK026</x:v>
      </x:c>
      <x:c r="B12" s="34" t="str">
        <x:v>Membawa tangan ke mulut</x:v>
      </x:c>
      <x:c r="C12" s="34" t="str">
        <x:v>Tangan &amp; Koordinasi</x:v>
      </x:c>
      <x:c r="D12" s="34" t="n">
        <x:v>121</x:v>
      </x:c>
      <x:c r="E12" s="34" t="n">
        <x:v>180</x:v>
      </x:c>
      <x:c r="F12" s="34" t="str">
        <x:v>milestone/observation</x:v>
      </x:c>
      <x:c r="G12" s="34" t="str">
        <x:v>Si Kecil membawa tangan ke area mulut.</x:v>
      </x:c>
      <x:c r="H12" s="34" t="str">
        <x:v>SRC_CDC_4M_2026</x:v>
      </x:c>
      <x:c r="I12" s="34" t="str">
        <x:v>Jaga tangan bersih; ini bukan perilaku yang perlu dicegah bila aman.</x:v>
      </x:c>
      <x:c r="J12" s="34" t="str">
        <x:v>source_checked</x:v>
      </x:c>
    </x:row>
    <x:row r="13">
      <x:c r="A13" s="34" t="str">
        <x:v>SK027</x:v>
      </x:c>
      <x:c r="B13" s="34" t="str">
        <x:v>Menopang tubuh pada siku/lengan bawah saat tummy time</x:v>
      </x:c>
      <x:c r="C13" s="34" t="str">
        <x:v>Gerak Tubuh</x:v>
      </x:c>
      <x:c r="D13" s="34" t="n">
        <x:v>121</x:v>
      </x:c>
      <x:c r="E13" s="34" t="n">
        <x:v>180</x:v>
      </x:c>
      <x:c r="F13" s="34" t="str">
        <x:v>milestone/observation</x:v>
      </x:c>
      <x:c r="G13" s="34" t="str">
        <x:v>Saat tengkurap, Si Kecil menopang tubuh bagian atas menggunakan siku/lengan bawah.</x:v>
      </x:c>
      <x:c r="H13" s="34" t="str">
        <x:v>SRC_CDC_4M_2026; SRC_AAP_MOVEMENT_4_7</x:v>
      </x:c>
      <x:c r="I13" s="34" t="str">
        <x:v>Tummy time hanya saat terjaga dan diawasi.</x:v>
      </x:c>
      <x:c r="J13" s="34" t="str">
        <x:v>source_checked</x:v>
      </x:c>
    </x:row>
    <x:row r="14">
      <x:c r="A14" s="34" t="str">
        <x:v>SK028</x:v>
      </x:c>
      <x:c r="B14" s="34" t="str">
        <x:v>Mengenali orang yang familiar</x:v>
      </x:c>
      <x:c r="C14" s="34" t="str">
        <x:v>Sosial &amp; Emosi</x:v>
      </x:c>
      <x:c r="D14" s="34" t="n">
        <x:v>151</x:v>
      </x:c>
      <x:c r="E14" s="34" t="n">
        <x:v>210</x:v>
      </x:c>
      <x:c r="F14" s="34" t="str">
        <x:v>milestone/observation</x:v>
      </x:c>
      <x:c r="G14" s="34" t="str">
        <x:v>Si Kecil menunjukkan respons berbeda atau perhatian pada caregiver/orang yang familiar.</x:v>
      </x:c>
      <x:c r="H14" s="34" t="str">
        <x:v>SRC_CDC_6M_2026</x:v>
      </x:c>
      <x:c r="I14" s="34" t="str">
        <x:v>Jangan gunakan reaksi terhadap orang asing sebagai tes tunggal.</x:v>
      </x:c>
      <x:c r="J14" s="34" t="str">
        <x:v>source_checked</x:v>
      </x:c>
    </x:row>
    <x:row r="15">
      <x:c r="A15" s="34" t="str">
        <x:v>SK029</x:v>
      </x:c>
      <x:c r="B15" s="34" t="str">
        <x:v>Tertarik melihat diri di cermin</x:v>
      </x:c>
      <x:c r="C15" s="34" t="str">
        <x:v>Sosial &amp; Emosi</x:v>
      </x:c>
      <x:c r="D15" s="34" t="n">
        <x:v>151</x:v>
      </x:c>
      <x:c r="E15" s="34" t="n">
        <x:v>210</x:v>
      </x:c>
      <x:c r="F15" s="34" t="str">
        <x:v>milestone/observation</x:v>
      </x:c>
      <x:c r="G15" s="34" t="str">
        <x:v>Si Kecil menikmati atau memperhatikan refleksi di cermin aman.</x:v>
      </x:c>
      <x:c r="H15" s="34" t="str">
        <x:v>SRC_CDC_6M_2026</x:v>
      </x:c>
      <x:c r="I15" s="34" t="str">
        <x:v>Bukan tanda self-recognition.</x:v>
      </x:c>
      <x:c r="J15" s="34" t="str">
        <x:v>source_checked</x:v>
      </x:c>
    </x:row>
    <x:row r="16">
      <x:c r="A16" s="34" t="str">
        <x:v>SK030</x:v>
      </x:c>
      <x:c r="B16" s="34" t="str">
        <x:v>Tertawa</x:v>
      </x:c>
      <x:c r="C16" s="34" t="str">
        <x:v>Sosial &amp; Emosi</x:v>
      </x:c>
      <x:c r="D16" s="34" t="n">
        <x:v>151</x:v>
      </x:c>
      <x:c r="E16" s="34" t="n">
        <x:v>210</x:v>
      </x:c>
      <x:c r="F16" s="34" t="str">
        <x:v>milestone/observation</x:v>
      </x:c>
      <x:c r="G16" s="34" t="str">
        <x:v>Si Kecil tertawa saat berinteraksi atau bermain.</x:v>
      </x:c>
      <x:c r="H16" s="34" t="str">
        <x:v>SRC_CDC_6M_2026</x:v>
      </x:c>
      <x:c r="I16" s="34" t="str">
        <x:v>Respons bervariasi menurut temperamen dan kondisi.</x:v>
      </x:c>
      <x:c r="J16" s="34" t="str">
        <x:v>source_checked</x:v>
      </x:c>
    </x:row>
    <x:row r="17">
      <x:c r="A17" s="34" t="str">
        <x:v>SK031</x:v>
      </x:c>
      <x:c r="B17" s="34" t="str">
        <x:v>Bergantian membuat suara</x:v>
      </x:c>
      <x:c r="C17" s="34" t="str">
        <x:v>Bahasa &amp; Komunikasi</x:v>
      </x:c>
      <x:c r="D17" s="34" t="n">
        <x:v>151</x:v>
      </x:c>
      <x:c r="E17" s="34" t="n">
        <x:v>210</x:v>
      </x:c>
      <x:c r="F17" s="34" t="str">
        <x:v>milestone/observation</x:v>
      </x:c>
      <x:c r="G17" s="34" t="str">
        <x:v>Si Kecil dan caregiver bergantian mengeluarkan suara.</x:v>
      </x:c>
      <x:c r="H17" s="34" t="str">
        <x:v>SRC_CDC_6M_2026; SRC_UNICEF_CCD_CARDS</x:v>
      </x:c>
      <x:c r="I17" s="34" t="str">
        <x:v>Gunakan sebagai observasi interaksi, bukan tes bahasa.</x:v>
      </x:c>
      <x:c r="J17" s="34" t="str">
        <x:v>source_checked</x:v>
      </x:c>
    </x:row>
    <x:row r="18">
      <x:c r="A18" s="34" t="str">
        <x:v>SK032</x:v>
      </x:c>
      <x:c r="B18" s="34" t="str">
        <x:v>Membuat bunyi raspberry</x:v>
      </x:c>
      <x:c r="C18" s="34" t="str">
        <x:v>Bahasa &amp; Komunikasi</x:v>
      </x:c>
      <x:c r="D18" s="34" t="n">
        <x:v>151</x:v>
      </x:c>
      <x:c r="E18" s="34" t="n">
        <x:v>210</x:v>
      </x:c>
      <x:c r="F18" s="34" t="str">
        <x:v>milestone/observation</x:v>
      </x:c>
      <x:c r="G18" s="34" t="str">
        <x:v>Si Kecil meniup dengan lidah/bibir sehingga menghasilkan bunyi raspberry.</x:v>
      </x:c>
      <x:c r="H18" s="34" t="str">
        <x:v>SRC_CDC_6M_2026</x:v>
      </x:c>
      <x:c r="I18" s="34" t="str">
        <x:v>Jangan dipaksa; tidak wajib muncul dalam satu sesi.</x:v>
      </x:c>
      <x:c r="J18" s="34" t="str">
        <x:v>source_checked</x:v>
      </x:c>
    </x:row>
    <x:row r="19">
      <x:c r="A19" s="34" t="str">
        <x:v>SK033</x:v>
      </x:c>
      <x:c r="B19" s="34" t="str">
        <x:v>Membuat suara melengking/squeal</x:v>
      </x:c>
      <x:c r="C19" s="34" t="str">
        <x:v>Bahasa &amp; Komunikasi</x:v>
      </x:c>
      <x:c r="D19" s="34" t="n">
        <x:v>151</x:v>
      </x:c>
      <x:c r="E19" s="34" t="n">
        <x:v>210</x:v>
      </x:c>
      <x:c r="F19" s="34" t="str">
        <x:v>milestone/observation</x:v>
      </x:c>
      <x:c r="G19" s="34" t="str">
        <x:v>Si Kecil menghasilkan suara bernada tinggi saat bereksplorasi dengan suara.</x:v>
      </x:c>
      <x:c r="H19" s="34" t="str">
        <x:v>SRC_CDC_6M_2026</x:v>
      </x:c>
      <x:c r="I19" s="34" t="str">
        <x:v>Bukan ukuran kualitas suara.</x:v>
      </x:c>
      <x:c r="J19" s="34" t="str">
        <x:v>source_checked</x:v>
      </x:c>
    </x:row>
    <x:row r="20">
      <x:c r="A20" s="34" t="str">
        <x:v>SK034</x:v>
      </x:c>
      <x:c r="B20" s="34" t="str">
        <x:v>Mengeksplorasi benda dengan mulut</x:v>
      </x:c>
      <x:c r="C20" s="34" t="str">
        <x:v>Berpikir &amp; Eksplorasi</x:v>
      </x:c>
      <x:c r="D20" s="34" t="n">
        <x:v>151</x:v>
      </x:c>
      <x:c r="E20" s="34" t="n">
        <x:v>210</x:v>
      </x:c>
      <x:c r="F20" s="34" t="str">
        <x:v>milestone/observation</x:v>
      </x:c>
      <x:c r="G20" s="34" t="str">
        <x:v>Si Kecil membawa benda aman ke mulut untuk mengeksplorasi.</x:v>
      </x:c>
      <x:c r="H20" s="34" t="str">
        <x:v>SRC_CDC_6M_2026</x:v>
      </x:c>
      <x:c r="I20" s="34" t="str">
        <x:v>Hanya benda besar, bersih, utuh, bebas bagian kecil.</x:v>
      </x:c>
      <x:c r="J20" s="34" t="str">
        <x:v>source_checked</x:v>
      </x:c>
    </x:row>
    <x:row r="21">
      <x:c r="A21" s="34" t="str">
        <x:v>SK035</x:v>
      </x:c>
      <x:c r="B21" s="34" t="str">
        <x:v>Meraih mainan yang diinginkan</x:v>
      </x:c>
      <x:c r="C21" s="34" t="str">
        <x:v>Tangan &amp; Koordinasi</x:v>
      </x:c>
      <x:c r="D21" s="34" t="n">
        <x:v>151</x:v>
      </x:c>
      <x:c r="E21" s="34" t="n">
        <x:v>210</x:v>
      </x:c>
      <x:c r="F21" s="34" t="str">
        <x:v>milestone/observation</x:v>
      </x:c>
      <x:c r="G21" s="34" t="str">
        <x:v>Si Kecil mengarahkan tangan dan meraih mainan yang menarik minatnya.</x:v>
      </x:c>
      <x:c r="H21" s="34" t="str">
        <x:v>SRC_CDC_6M_2026</x:v>
      </x:c>
      <x:c r="I21" s="34" t="str">
        <x:v>Jangan menaruh benda terlalu jauh hingga membuat frustrasi.</x:v>
      </x:c>
      <x:c r="J21" s="34" t="str">
        <x:v>source_checked</x:v>
      </x:c>
    </x:row>
    <x:row r="22">
      <x:c r="A22" s="34" t="str">
        <x:v>SK036</x:v>
      </x:c>
      <x:c r="B22" s="34" t="str">
        <x:v>Berguling dari tengkurap ke telentang</x:v>
      </x:c>
      <x:c r="C22" s="34" t="str">
        <x:v>Gerak Tubuh</x:v>
      </x:c>
      <x:c r="D22" s="34" t="n">
        <x:v>151</x:v>
      </x:c>
      <x:c r="E22" s="34" t="n">
        <x:v>210</x:v>
      </x:c>
      <x:c r="F22" s="34" t="str">
        <x:v>milestone/observation</x:v>
      </x:c>
      <x:c r="G22" s="34" t="str">
        <x:v>Si Kecil berguling dari posisi tengkurap ke telentang.</x:v>
      </x:c>
      <x:c r="H22" s="34" t="str">
        <x:v>SRC_CDC_6M_2026; SRC_AAP_MOVEMENT_4_7</x:v>
      </x:c>
      <x:c r="I22" s="34" t="str">
        <x:v>Jangan menarik lengan/kaki untuk memaksa berguling.</x:v>
      </x:c>
      <x:c r="J22" s="34" t="str">
        <x:v>source_checked</x:v>
      </x:c>
    </x:row>
    <x:row r="23">
      <x:c r="A23" s="34" t="str">
        <x:v>SK037</x:v>
      </x:c>
      <x:c r="B23" s="34" t="str">
        <x:v>Mendorong tubuh dengan lengan lebih lurus saat tummy time</x:v>
      </x:c>
      <x:c r="C23" s="34" t="str">
        <x:v>Gerak Tubuh</x:v>
      </x:c>
      <x:c r="D23" s="34" t="n">
        <x:v>151</x:v>
      </x:c>
      <x:c r="E23" s="34" t="n">
        <x:v>210</x:v>
      </x:c>
      <x:c r="F23" s="34" t="str">
        <x:v>milestone/observation</x:v>
      </x:c>
      <x:c r="G23" s="34" t="str">
        <x:v>Saat tengkurap, Si Kecil mendorong dada lebih tinggi dengan lengan yang lebih lurus.</x:v>
      </x:c>
      <x:c r="H23" s="34" t="str">
        <x:v>SRC_CDC_6M_2026; SRC_AAP_MOVEMENT_4_7</x:v>
      </x:c>
      <x:c r="I23" s="34" t="str">
        <x:v>Tummy time awake + supervised.</x:v>
      </x:c>
      <x:c r="J23" s="34" t="str">
        <x:v>source_checked</x:v>
      </x:c>
    </x:row>
    <x:row r="24">
      <x:c r="A24" s="34" t="str">
        <x:v>SK038</x:v>
      </x:c>
      <x:c r="B24" s="34" t="str">
        <x:v>Menopang diri dengan tangan saat duduk</x:v>
      </x:c>
      <x:c r="C24" s="34" t="str">
        <x:v>Gerak Tubuh</x:v>
      </x:c>
      <x:c r="D24" s="34" t="n">
        <x:v>151</x:v>
      </x:c>
      <x:c r="E24" s="34" t="n">
        <x:v>210</x:v>
      </x:c>
      <x:c r="F24" s="34" t="str">
        <x:v>milestone/observation</x:v>
      </x:c>
      <x:c r="G24" s="34" t="str">
        <x:v>Saat diposisikan duduk dengan aman, Si Kecil menggunakan tangan di depan untuk membantu keseimbangan.</x:v>
      </x:c>
      <x:c r="H24" s="34" t="str">
        <x:v>SRC_CDC_6M_2026; SRC_AAP_MOVEMENT_4_7</x:v>
      </x:c>
      <x:c r="I24" s="34" t="str">
        <x:v>Duduk latihan hanya dengan pengawasan dan dukungan sesuai kemampuan.</x:v>
      </x:c>
      <x:c r="J24" s="34" t="str">
        <x:v>source_checked</x:v>
      </x:c>
    </x:row>
    <x:row r="25">
      <x:c r="A25" s="34" t="str">
        <x:v>SK039</x:v>
      </x:c>
      <x:c r="B25" s="34" t="str">
        <x:v>Menutup bibir untuk menunjukkan tidak ingin lagi makan</x:v>
      </x:c>
      <x:c r="C25" s="34" t="str">
        <x:v>Berpikir &amp; Eksplorasi</x:v>
      </x:c>
      <x:c r="D25" s="34" t="n">
        <x:v>151</x:v>
      </x:c>
      <x:c r="E25" s="34" t="n">
        <x:v>210</x:v>
      </x:c>
      <x:c r="F25" s="34" t="str">
        <x:v>milestone/observation</x:v>
      </x:c>
      <x:c r="G25" s="34" t="str">
        <x:v>Saat feeding, Si Kecil menutup bibir untuk menunjukkan tidak ingin makanan lagi.</x:v>
      </x:c>
      <x:c r="H25" s="34" t="str">
        <x:v>SRC_CDC_6M_2026</x:v>
      </x:c>
      <x:c r="I25" s="34" t="str">
        <x:v>Ini feeding cue, bukan target stimulasi; ikuti responsive feeding dan tenaga kesehatan.</x:v>
      </x:c>
      <x:c r="J25" s="34" t="str">
        <x:v>source_checked</x:v>
      </x:c>
    </x:row>
  </x:sheetData>
  <x:dataValidations count="1">
    <x:dataValidation type="list" sqref="J2:J25">
      <x:formula1>"draft,source_checked,clinical_review,approved"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709e9d9da9546da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22" hidden="0" customWidth="1"/>
    <x:col min="9" max="9" width="24" hidden="0" customWidth="1"/>
    <x:col min="10" max="10" width="18" hidden="0" customWidth="1"/>
    <x:col min="11" max="11" width="14" hidden="0" customWidth="1"/>
    <x:col min="12" max="12" width="42" hidden="0" customWidth="1"/>
    <x:col min="13" max="13" width="62" hidden="0" customWidth="1"/>
    <x:col min="14" max="14" width="76" hidden="0" customWidth="1"/>
    <x:col min="15" max="15" width="85" hidden="0" customWidth="1"/>
    <x:col min="16" max="16" width="65" hidden="0" customWidth="1"/>
    <x:col min="17" max="17" width="44" hidden="0" customWidth="1"/>
    <x:col min="18" max="18" width="48" hidden="0" customWidth="1"/>
    <x:col min="19" max="19" width="82" hidden="0" customWidth="1"/>
    <x:col min="20" max="20" width="70" hidden="0" customWidth="1"/>
    <x:col min="21" max="21" width="60" hidden="0" customWidth="1"/>
    <x:col min="22" max="22" width="50" hidden="0" customWidth="1"/>
    <x:col min="23" max="23" width="76" hidden="0" customWidth="1"/>
    <x:col min="24" max="24" width="18" hidden="0" customWidth="1"/>
    <x:col min="25" max="25" width="20" hidden="0" customWidth="1"/>
    <x:col min="26" max="26" width="18" hidden="0" customWidth="1"/>
    <x:col min="27" max="27" width="15" hidden="0" customWidth="1"/>
  </x:cols>
  <x:sheetData>
    <x:row r="1">
      <x:c r="A1" s="41" t="str">
        <x:v>activity_id</x:v>
      </x:c>
      <x:c r="B1" s="41" t="str">
        <x:v>title</x:v>
      </x:c>
      <x:c r="C1" s="41" t="str">
        <x:v>age_label</x:v>
      </x:c>
      <x:c r="D1" s="41" t="str">
        <x:v>min_age_days</x:v>
      </x:c>
      <x:c r="E1" s="41" t="str">
        <x:v>max_age_days</x:v>
      </x:c>
      <x:c r="F1" s="41" t="str">
        <x:v>min_age_month</x:v>
      </x:c>
      <x:c r="G1" s="41" t="str">
        <x:v>max_age_month</x:v>
      </x:c>
      <x:c r="H1" s="41" t="str">
        <x:v>primary_domain</x:v>
      </x:c>
      <x:c r="I1" s="41" t="str">
        <x:v>secondary_domains</x:v>
      </x:c>
      <x:c r="J1" s="41" t="str">
        <x:v>activity_type</x:v>
      </x:c>
      <x:c r="K1" s="41" t="str">
        <x:v>duration_minutes</x:v>
      </x:c>
      <x:c r="L1" s="41" t="str">
        <x:v>materials</x:v>
      </x:c>
      <x:c r="M1" s="41" t="str">
        <x:v>benefit_short</x:v>
      </x:c>
      <x:c r="N1" s="41" t="str">
        <x:v>benefit_detail</x:v>
      </x:c>
      <x:c r="O1" s="41" t="str">
        <x:v>instructions</x:v>
      </x:c>
      <x:c r="P1" s="41" t="str">
        <x:v>observe_items</x:v>
      </x:c>
      <x:c r="Q1" s="41" t="str">
        <x:v>easy_variation</x:v>
      </x:c>
      <x:c r="R1" s="41" t="str">
        <x:v>alternate_variation</x:v>
      </x:c>
      <x:c r="S1" s="41" t="str">
        <x:v>safety_notes</x:v>
      </x:c>
      <x:c r="T1" s="41" t="str">
        <x:v>stop_conditions</x:v>
      </x:c>
      <x:c r="U1" s="41" t="str">
        <x:v>prematurity_notes</x:v>
      </x:c>
      <x:c r="V1" s="41" t="str">
        <x:v>source_refs</x:v>
      </x:c>
      <x:c r="W1" s="41" t="str">
        <x:v>evidence_note</x:v>
      </x:c>
      <x:c r="X1" s="41" t="str">
        <x:v>review_status</x:v>
      </x:c>
      <x:c r="Y1" s="41" t="str">
        <x:v>reviewer</x:v>
      </x:c>
      <x:c r="Z1" s="41" t="str">
        <x:v>last_reviewed_at</x:v>
      </x:c>
      <x:c r="AA1" s="41" t="str">
        <x:v>content_version</x:v>
      </x:c>
    </x:row>
    <x:row r="2">
      <x:c r="A2" s="34" t="str">
        <x:v>ACT033</x:v>
      </x:c>
      <x:c r="B2" s="34" t="str">
        <x:v>Tummy Time Sambil Meraih Mainan</x:v>
      </x:c>
      <x:c r="C2" s="34" t="str">
        <x:v>4–6 bulan</x:v>
      </x:c>
      <x:c r="D2" s="34" t="n">
        <x:v>121</x:v>
      </x:c>
      <x:c r="E2" s="34" t="n">
        <x:v>210</x:v>
      </x:c>
      <x:c r="F2" s="34" t="n">
        <x:v>4</x:v>
      </x:c>
      <x:c r="G2" s="34" t="n">
        <x:v>6</x:v>
      </x:c>
      <x:c r="H2" s="34" t="str">
        <x:v>Gerak Tubuh</x:v>
      </x:c>
      <x:c r="I2" s="34" t="str">
        <x:v>Tangan &amp; Koordinasi</x:v>
      </x:c>
      <x:c r="J2" s="34" t="str">
        <x:v>gerak</x:v>
      </x:c>
      <x:c r="K2" s="34" t="n">
        <x:v>5</x:v>
      </x:c>
      <x:c r="L2" s="34" t="str">
        <x:v>Matras datar; mainan besar dan aman</x:v>
      </x:c>
      <x:c r="M2" s="34" t="str">
        <x:v>Memberi kesempatan Si Kecil memperkuat leher, bahu, punggung dan lengan sambil mencoba mengarahkan tangan ke mainan.</x:v>
      </x:c>
      <x:c r="N2" s="34" t="str">
        <x:v>Floor play dan tummy time memberi kesempatan bergerak, menopang tubuh, dan mengeksplorasi benda di sekitarnya.</x:v>
      </x:c>
      <x:c r="O2" s="34" t="str">
        <x:v>1) Letakkan bayi tengkurap saat terjaga. 2) Tunjukkan mainan sedikit di depan. 3) Biarkan bayi menatap, menopang tubuh, dan mencoba meraih tanpa dipaksa.</x:v>
      </x:c>
      <x:c r="P2" s="34" t="str">
        <x:v>Menopang tubuh dengan siku/lengan; mengangkat kepala; tangan bergerak ke arah mainan.</x:v>
      </x:c>
      <x:c r="Q2" s="34" t="str">
        <x:v>Dekatkan mainan dan singkatkan sesi.</x:v>
      </x:c>
      <x:c r="R2" s="34" t="str">
        <x:v>Pindahkan mainan sedikit ke sisi lain pada sesi berbeda.</x:v>
      </x:c>
      <x:c r="S2" s="34" t="str">
        <x:v>Awake + supervised; permukaan datar; mainan besar tanpa bagian kecil; jangan menarik lengan bayi.</x:v>
      </x:c>
      <x:c r="T2" s="34" t="str">
        <x:v>Hentikan bila bayi sangat lelah, distress, tertidur, atau jalan napas tidak bebas.</x:v>
      </x:c>
      <x:c r="U2" s="34" t="str">
        <x:v>Prematur: gunakan corrected age dan toleransi individual.</x:v>
      </x:c>
      <x:c r="V2" s="34" t="str">
        <x:v>SRC_CDC_4M_2026; SRC_CDC_6M_2026; SRC_AAP_MOVEMENT_4_7</x:v>
      </x:c>
      <x:c r="W2" s="34" t="str">
        <x:v>CDC mendorong floor play/reaching; AAP membahas tummy play dan penguatan head/trunk control usia 4–7 bulan.</x:v>
      </x:c>
      <x:c r="X2" s="34" t="str">
        <x:v>source_checked</x:v>
      </x:c>
      <x:c r="Y2" s="34" t="str"/>
      <x:c r="Z2" s="34" t="str"/>
      <x:c r="AA2" s="34" t="str">
        <x:v>v0.2</x:v>
      </x:c>
    </x:row>
    <x:row r="3">
      <x:c r="A3" s="34" t="str">
        <x:v>ACT034</x:v>
      </x:c>
      <x:c r="B3" s="34" t="str">
        <x:v>Main di Lantai dengan Mainan di Samping</x:v>
      </x:c>
      <x:c r="C3" s="34" t="str">
        <x:v>4–6 bulan</x:v>
      </x:c>
      <x:c r="D3" s="34" t="n">
        <x:v>121</x:v>
      </x:c>
      <x:c r="E3" s="34" t="n">
        <x:v>210</x:v>
      </x:c>
      <x:c r="F3" s="34" t="n">
        <x:v>4</x:v>
      </x:c>
      <x:c r="G3" s="34" t="n">
        <x:v>6</x:v>
      </x:c>
      <x:c r="H3" s="34" t="str">
        <x:v>Gerak Tubuh</x:v>
      </x:c>
      <x:c r="I3" s="34" t="str">
        <x:v>Berpikir &amp; Eksplorasi</x:v>
      </x:c>
      <x:c r="J3" s="34" t="str">
        <x:v>gerak</x:v>
      </x:c>
      <x:c r="K3" s="34" t="n">
        <x:v>5</x:v>
      </x:c>
      <x:c r="L3" s="34" t="str">
        <x:v>Matras aman; satu mainan besar</x:v>
      </x:c>
      <x:c r="M3" s="34" t="str">
        <x:v>Memberi kesempatan memindahkan berat badan, memutar tubuh, dan mengeksplorasi arah gerak secara alami.</x:v>
      </x:c>
      <x:c r="N3" s="34" t="str">
        <x:v>Menempatkan mainan sedikit ke samping dapat mendorong bayi mengubah posisi tubuh tanpa memaksakan gerakan tertentu.</x:v>
      </x:c>
      <x:c r="O3" s="34" t="str">
        <x:v>1) Baringkan bayi telentang atau tengkurap sesuai posisi nyaman. 2) Letakkan mainan sedikit ke sisi kanan/kiri. 3) Tunggu bayi melihat dan mencoba bergerak mendekat.</x:v>
      </x:c>
      <x:c r="P3" s="34" t="str">
        <x:v>Memutar kepala/bahu; menggeser berat badan; mencoba berguling atau meraih.</x:v>
      </x:c>
      <x:c r="Q3" s="34" t="str">
        <x:v>Letakkan mainan lebih dekat.</x:v>
      </x:c>
      <x:c r="R3" s="34" t="str">
        <x:v>Ganti sisi pada sesi berikutnya.</x:v>
      </x:c>
      <x:c r="S3" s="34" t="str">
        <x:v>Jangan menarik lengan/kaki untuk membuat berguling; lantai bebas benda keras/kecil.</x:v>
      </x:c>
      <x:c r="T3" s="34" t="str">
        <x:v>Hentikan bila bayi frustrasi berlebihan atau lelah.</x:v>
      </x:c>
      <x:c r="U3" s="34" t="str">
        <x:v>Prematur: sesuaikan posisi dan jarak dengan kemampuan aktual.</x:v>
      </x:c>
      <x:c r="V3" s="34" t="str">
        <x:v>SRC_CDC_4M_2026; SRC_AAP_MOVEMENT_4_7</x:v>
      </x:c>
      <x:c r="W3" s="34" t="str">
        <x:v>CDC mendorong floor/play-mat exploration; AAP menjelaskan rolling berkembang seiring kontrol tubuh dan keseimbangan.</x:v>
      </x:c>
      <x:c r="X3" s="34" t="str">
        <x:v>source_checked</x:v>
      </x:c>
      <x:c r="Y3" s="34" t="str"/>
      <x:c r="Z3" s="34" t="str"/>
      <x:c r="AA3" s="34" t="str">
        <x:v>v0.2</x:v>
      </x:c>
    </x:row>
    <x:row r="4">
      <x:c r="A4" s="34" t="str">
        <x:v>ACT035</x:v>
      </x:c>
      <x:c r="B4" s="34" t="str">
        <x:v>Berguling Mengikuti Mainan</x:v>
      </x:c>
      <x:c r="C4" s="34" t="str">
        <x:v>4–6 bulan</x:v>
      </x:c>
      <x:c r="D4" s="34" t="n">
        <x:v>121</x:v>
      </x:c>
      <x:c r="E4" s="34" t="n">
        <x:v>210</x:v>
      </x:c>
      <x:c r="F4" s="34" t="n">
        <x:v>4</x:v>
      </x:c>
      <x:c r="G4" s="34" t="n">
        <x:v>6</x:v>
      </x:c>
      <x:c r="H4" s="34" t="str">
        <x:v>Gerak Tubuh</x:v>
      </x:c>
      <x:c r="I4" s="34" t="str">
        <x:v>Berpikir &amp; Eksplorasi</x:v>
      </x:c>
      <x:c r="J4" s="34" t="str">
        <x:v>gerak</x:v>
      </x:c>
      <x:c r="K4" s="34" t="n">
        <x:v>5</x:v>
      </x:c>
      <x:c r="L4" s="34" t="str">
        <x:v>Matras aman; mainan besar</x:v>
      </x:c>
      <x:c r="M4" s="34" t="str">
        <x:v>Memberi kesempatan Si Kecil mengoordinasikan kepala, bahu, batang tubuh, dan panggul saat mencoba berpindah posisi.</x:v>
      </x:c>
      <x:c r="N4" s="34" t="str">
        <x:v>Aktivitas ini memberi peluang berguling secara mandiri; caregiver tidak menarik tubuh bayi untuk menyelesaikan gerakan.</x:v>
      </x:c>
      <x:c r="O4" s="34" t="str">
        <x:v>1) Saat bayi telentang, tunjukkan mainan di sisi tubuh. 2) Gerakkan perlahan sedikit melampaui garis tengah. 3) Tunggu bayi memutar kepala/bahu dan mencoba mengikuti.</x:v>
      </x:c>
      <x:c r="P4" s="34" t="str">
        <x:v>Memutar kepala; bahu/panggul ikut bergerak; mencoba berguling.</x:v>
      </x:c>
      <x:c r="Q4" s="34" t="str">
        <x:v>Mainan cukup di sisi dekat.</x:v>
      </x:c>
      <x:c r="R4" s="34" t="str">
        <x:v>Ulangi dari sisi lain pada hari berbeda.</x:v>
      </x:c>
      <x:c r="S4" s="34" t="str">
        <x:v>Jangan menarik tangan/kaki; lakukan di lantai, bukan tempat tinggi; selalu diawasi.</x:v>
      </x:c>
      <x:c r="T4" s="34" t="str">
        <x:v>Hentikan jika bayi tampak terjepit, distress, atau lelah.</x:v>
      </x:c>
      <x:c r="U4" s="34" t="str">
        <x:v>Prematur: gunakan usia koreksi dan kemampuan aktual.</x:v>
      </x:c>
      <x:c r="V4" s="34" t="str">
        <x:v>SRC_CDC_6M_2026; SRC_AAP_MOVEMENT_4_7</x:v>
      </x:c>
      <x:c r="W4" s="34" t="str">
        <x:v>Rolling adalah milestone gerak yang berkembang pada rentang ini; aktivitas dibuat sebagai kesempatan, bukan tes.</x:v>
      </x:c>
      <x:c r="X4" s="34" t="str">
        <x:v>source_checked</x:v>
      </x:c>
      <x:c r="Y4" s="34" t="str"/>
      <x:c r="Z4" s="34" t="str"/>
      <x:c r="AA4" s="34" t="str">
        <x:v>v0.2</x:v>
      </x:c>
    </x:row>
    <x:row r="5">
      <x:c r="A5" s="34" t="str">
        <x:v>ACT036</x:v>
      </x:c>
      <x:c r="B5" s="34" t="str">
        <x:v>Duduk dengan Dukungan dan Mainan di Depan</x:v>
      </x:c>
      <x:c r="C5" s="34" t="str">
        <x:v>5–6 bulan</x:v>
      </x:c>
      <x:c r="D5" s="34" t="n">
        <x:v>151</x:v>
      </x:c>
      <x:c r="E5" s="34" t="n">
        <x:v>210</x:v>
      </x:c>
      <x:c r="F5" s="34" t="n">
        <x:v>5</x:v>
      </x:c>
      <x:c r="G5" s="34" t="n">
        <x:v>6</x:v>
      </x:c>
      <x:c r="H5" s="34" t="str">
        <x:v>Gerak Tubuh</x:v>
      </x:c>
      <x:c r="I5" s="34" t="str">
        <x:v>Tangan &amp; Koordinasi</x:v>
      </x:c>
      <x:c r="J5" s="34" t="str">
        <x:v>gerak</x:v>
      </x:c>
      <x:c r="K5" s="34" t="n">
        <x:v>4</x:v>
      </x:c>
      <x:c r="L5" s="34" t="str">
        <x:v>Lantai aman; dukungan caregiver; mainan besar</x:v>
      </x:c>
      <x:c r="M5" s="34" t="str">
        <x:v>Memberi kesempatan melatih kontrol kepala, batang tubuh, dan keseimbangan sambil menggunakan tangan untuk menopang atau meraih.</x:v>
      </x:c>
      <x:c r="N5" s="34" t="str">
        <x:v>AAP dan CDC menggambarkan perkembangan duduk dengan dukungan serta penggunaan tangan untuk membantu keseimbangan sekitar usia ini.</x:v>
      </x:c>
      <x:c r="O5" s="34" t="str">
        <x:v>1) Dudukkan bayi di lantai dengan dukungan tangan caregiver di badan/panggul. 2) Letakkan mainan di depan. 3) Biarkan bayi menumpu tangan atau meraih sesuai kemampuan.</x:v>
      </x:c>
      <x:c r="P5" s="34" t="str">
        <x:v>Kepala stabil; tangan menyentuh lantai/depan; badan mencoba mempertahankan posisi.</x:v>
      </x:c>
      <x:c r="Q5" s="34" t="str">
        <x:v>Dukungan lebih banyak di badan.</x:v>
      </x:c>
      <x:c r="R5" s="34" t="str">
        <x:v>Kurangi dukungan sedikit hanya bila bayi stabil dan caregiver tetap memegang dekat.</x:v>
      </x:c>
      <x:c r="S5" s="34" t="str">
        <x:v>Jangan tinggalkan bayi duduk sendiri; lakukan di lantai; jangan gunakan bantal tinggi yang menutup jalan napas.</x:v>
      </x:c>
      <x:c r="T5" s="34" t="str">
        <x:v>Hentikan jika kepala terkulai, tubuh jatuh berulang, distress, atau lelah.</x:v>
      </x:c>
      <x:c r="U5" s="34" t="str">
        <x:v>Prematur: sesuaikan dengan corrected age dan rekomendasi klinis bila ada.</x:v>
      </x:c>
      <x:c r="V5" s="34" t="str">
        <x:v>SRC_CDC_6M_2026; SRC_AAP_MOVEMENT_4_7</x:v>
      </x:c>
      <x:c r="W5" s="34" t="str">
        <x:v>CDC mencantumkan leaning on hands saat sitting; AAP membahas supported sitting dan balance.</x:v>
      </x:c>
      <x:c r="X5" s="34" t="str">
        <x:v>source_checked</x:v>
      </x:c>
      <x:c r="Y5" s="34" t="str"/>
      <x:c r="Z5" s="34" t="str"/>
      <x:c r="AA5" s="34" t="str">
        <x:v>v0.2</x:v>
      </x:c>
    </x:row>
    <x:row r="6">
      <x:c r="A6" s="34" t="str">
        <x:v>ACT037</x:v>
      </x:c>
      <x:c r="B6" s="34" t="str">
        <x:v>Dorong Dada Lebih Tinggi Saat Tummy Time</x:v>
      </x:c>
      <x:c r="C6" s="34" t="str">
        <x:v>5–6 bulan</x:v>
      </x:c>
      <x:c r="D6" s="34" t="n">
        <x:v>151</x:v>
      </x:c>
      <x:c r="E6" s="34" t="n">
        <x:v>210</x:v>
      </x:c>
      <x:c r="F6" s="34" t="n">
        <x:v>5</x:v>
      </x:c>
      <x:c r="G6" s="34" t="n">
        <x:v>6</x:v>
      </x:c>
      <x:c r="H6" s="34" t="str">
        <x:v>Gerak Tubuh</x:v>
      </x:c>
      <x:c r="I6" s="34" t="str">
        <x:v>Tangan &amp; Koordinasi</x:v>
      </x:c>
      <x:c r="J6" s="34" t="str">
        <x:v>gerak</x:v>
      </x:c>
      <x:c r="K6" s="34" t="n">
        <x:v>4</x:v>
      </x:c>
      <x:c r="L6" s="34" t="str">
        <x:v>Matras aman; mainan besar</x:v>
      </x:c>
      <x:c r="M6" s="34" t="str">
        <x:v>Memberi kesempatan memperkuat bahu dan lengan ketika Si Kecil mendorong tubuh lebih tinggi saat tengkurap.</x:v>
      </x:c>
      <x:c r="N6" s="34" t="str">
        <x:v>Pada sekitar enam bulan, banyak bayi mulai mendorong tubuh dengan lengan lebih lurus saat tummy play.</x:v>
      </x:c>
      <x:c r="O6" s="34" t="str">
        <x:v>1) Bayi tengkurap dan terjaga. 2) Letakkan mainan menarik di depan sedikit lebih tinggi dari pandangan. 3) Beri waktu bayi menekan telapak/lengan untuk melihat.</x:v>
      </x:c>
      <x:c r="P6" s="34" t="str">
        <x:v>Dada terangkat; siku lebih lurus; kepala stabil.</x:v>
      </x:c>
      <x:c r="Q6" s="34" t="str">
        <x:v>Gunakan posisi pada siku/lengan bawah.</x:v>
      </x:c>
      <x:c r="R6" s="34" t="str">
        <x:v>Gunakan mainan sedikit bergeser agar bayi memindahkan berat.</x:v>
      </x:c>
      <x:c r="S6" s="34" t="str">
        <x:v>Awake + supervised; jangan menekan punggung atau meluruskan lengan secara paksa.</x:v>
      </x:c>
      <x:c r="T6" s="34" t="str">
        <x:v>Hentikan bila lelah, distress, atau napas tidak nyaman.</x:v>
      </x:c>
      <x:c r="U6" s="34" t="str">
        <x:v>Prematur: sesuaikan corrected age.</x:v>
      </x:c>
      <x:c r="V6" s="34" t="str">
        <x:v>SRC_CDC_6M_2026; SRC_AAP_MOVEMENT_4_7</x:v>
      </x:c>
      <x:c r="W6" s="34" t="str">
        <x:v>CDC 6 bulan memasukkan push up with straight arms; digunakan sebagai peluang bermain, bukan target wajib.</x:v>
      </x:c>
      <x:c r="X6" s="34" t="str">
        <x:v>source_checked</x:v>
      </x:c>
      <x:c r="Y6" s="34" t="str"/>
      <x:c r="Z6" s="34" t="str"/>
      <x:c r="AA6" s="34" t="str">
        <x:v>v0.2</x:v>
      </x:c>
    </x:row>
    <x:row r="7">
      <x:c r="A7" s="34" t="str">
        <x:v>ACT038</x:v>
      </x:c>
      <x:c r="B7" s="34" t="str">
        <x:v>Tendang Mainan yang Aman</x:v>
      </x:c>
      <x:c r="C7" s="34" t="str">
        <x:v>4–6 bulan</x:v>
      </x:c>
      <x:c r="D7" s="34" t="n">
        <x:v>121</x:v>
      </x:c>
      <x:c r="E7" s="34" t="n">
        <x:v>210</x:v>
      </x:c>
      <x:c r="F7" s="34" t="n">
        <x:v>4</x:v>
      </x:c>
      <x:c r="G7" s="34" t="n">
        <x:v>6</x:v>
      </x:c>
      <x:c r="H7" s="34" t="str">
        <x:v>Gerak Tubuh</x:v>
      </x:c>
      <x:c r="I7" s="34" t="str">
        <x:v>Berpikir &amp; Eksplorasi</x:v>
      </x:c>
      <x:c r="J7" s="34" t="str">
        <x:v>gerak</x:v>
      </x:c>
      <x:c r="K7" s="34" t="n">
        <x:v>4</x:v>
      </x:c>
      <x:c r="L7" s="34" t="str">
        <x:v>Play gym kokoh atau mainan lembut besar yang terpasang aman</x:v>
      </x:c>
      <x:c r="M7" s="34" t="str">
        <x:v>Memberi kesempatan menggerakkan tungkai dan mengalami hubungan sederhana antara gerakan tubuh dan perubahan pada benda.</x:v>
      </x:c>
      <x:c r="N7" s="34" t="str">
        <x:v>CDC menyarankan kesempatan aman untuk menendang dan mengeksplorasi mainan pada usia sekitar empat bulan.</x:v>
      </x:c>
      <x:c r="O7" s="34" t="str">
        <x:v>1) Baringkan bayi telentang di matras. 2) Tempatkan mainan lembut/elemen play gym pada posisi kaki dapat menyentuhnya. 3) Biarkan bayi menendang spontan.</x:v>
      </x:c>
      <x:c r="P7" s="34" t="str">
        <x:v>Kaki menyentuh mainan; mengulangi tendangan; memperhatikan gerakan/bunyi.</x:v>
      </x:c>
      <x:c r="Q7" s="34" t="str">
        <x:v>Tanpa mainan, hanya gerak kaki bebas.</x:v>
      </x:c>
      <x:c r="R7" s="34" t="str">
        <x:v>Gunakan objek yang bergerak sedikit saat tersentuh.</x:v>
      </x:c>
      <x:c r="S7" s="34" t="str">
        <x:v>Tidak boleh ada tali panjang/jeratan; struktur harus stabil; jangan pasang benda keras dekat wajah.</x:v>
      </x:c>
      <x:c r="T7" s="34" t="str">
        <x:v>Hentikan bila alat bergeser, bayi terjepit, atau overstimulated.</x:v>
      </x:c>
      <x:c r="U7" s="34" t="str">
        <x:v>Prematur: gunakan rangsang sederhana dan durasi singkat.</x:v>
      </x:c>
      <x:c r="V7" s="34" t="str">
        <x:v>SRC_CDC_4M_2026</x:v>
      </x:c>
      <x:c r="W7" s="34" t="str">
        <x:v>CDC 4 bulan merekomendasikan safe opportunities to kick at toys and explore surroundings.</x:v>
      </x:c>
      <x:c r="X7" s="34" t="str">
        <x:v>source_checked</x:v>
      </x:c>
      <x:c r="Y7" s="34" t="str"/>
      <x:c r="Z7" s="34" t="str"/>
      <x:c r="AA7" s="34" t="str">
        <x:v>v0.2</x:v>
      </x:c>
    </x:row>
    <x:row r="8">
      <x:c r="A8" s="34" t="str">
        <x:v>ACT039</x:v>
      </x:c>
      <x:c r="B8" s="34" t="str">
        <x:v>Pegang Mainan Ringan</x:v>
      </x:c>
      <x:c r="C8" s="34" t="str">
        <x:v>4–6 bulan</x:v>
      </x:c>
      <x:c r="D8" s="34" t="n">
        <x:v>121</x:v>
      </x:c>
      <x:c r="E8" s="34" t="n">
        <x:v>210</x:v>
      </x:c>
      <x:c r="F8" s="34" t="n">
        <x:v>4</x:v>
      </x:c>
      <x:c r="G8" s="34" t="n">
        <x:v>6</x:v>
      </x:c>
      <x:c r="H8" s="34" t="str">
        <x:v>Tangan &amp; Koordinasi</x:v>
      </x:c>
      <x:c r="I8" s="34" t="str">
        <x:v>Berpikir &amp; Eksplorasi</x:v>
      </x:c>
      <x:c r="J8" s="34" t="str">
        <x:v>koordinasi</x:v>
      </x:c>
      <x:c r="K8" s="34" t="n">
        <x:v>4</x:v>
      </x:c>
      <x:c r="L8" s="34" t="str">
        <x:v>Mainan ringan, besar, aman digenggam</x:v>
      </x:c>
      <x:c r="M8" s="34" t="str">
        <x:v>Memberi kesempatan melatih genggaman, koordinasi tangan, dan eksplorasi benda.</x:v>
      </x:c>
      <x:c r="N8" s="34" t="str">
        <x:v>CDC mencantumkan kemampuan memegang mainan yang diletakkan di tangan sebagai salah satu observasi usia empat bulan.</x:v>
      </x:c>
      <x:c r="O8" s="34" t="str">
        <x:v>1) Tunjukkan mainan. 2) Sentuhkan pegangan ke telapak tangan. 3) Bila bayi menggenggam, biarkan memegang dan mengeksplorasi sendiri.</x:v>
      </x:c>
      <x:c r="P8" s="34" t="str">
        <x:v>Menggenggam; mempertahankan benda; menggerakkan benda; melihat benda.</x:v>
      </x:c>
      <x:c r="Q8" s="34" t="str">
        <x:v>Gunakan benda lebih ringan/besar.</x:v>
      </x:c>
      <x:c r="R8" s="34" t="str">
        <x:v>Tawarkan benda dengan bentuk berbeda pada sesi berikutnya.</x:v>
      </x:c>
      <x:c r="S8" s="34" t="str">
        <x:v>Benda harus utuh, besar, tanpa bagian kecil/tali panjang, dan mudah dibersihkan.</x:v>
      </x:c>
      <x:c r="T8" s="34" t="str">
        <x:v>Hentikan bila benda pecah/rusak atau bayi distress.</x:v>
      </x:c>
      <x:c r="U8" s="34" t="str">
        <x:v>Prematur: gunakan benda sangat ringan dan sesuai corrected age.</x:v>
      </x:c>
      <x:c r="V8" s="34" t="str">
        <x:v>SRC_CDC_4M_2026; SRC_UNICEF_CCD_CARDS</x:v>
      </x:c>
      <x:c r="W8" s="34" t="str">
        <x:v>CDC 4 bulan: holds a toy when put in hand; CCD mendorong safe object exploration.</x:v>
      </x:c>
      <x:c r="X8" s="34" t="str">
        <x:v>source_checked</x:v>
      </x:c>
      <x:c r="Y8" s="34" t="str"/>
      <x:c r="Z8" s="34" t="str"/>
      <x:c r="AA8" s="34" t="str">
        <x:v>v0.2</x:v>
      </x:c>
    </x:row>
    <x:row r="9">
      <x:c r="A9" s="34" t="str">
        <x:v>ACT040</x:v>
      </x:c>
      <x:c r="B9" s="34" t="str">
        <x:v>Ayunkan Tangan ke Arah Mainan</x:v>
      </x:c>
      <x:c r="C9" s="34" t="str">
        <x:v>4–5 bulan</x:v>
      </x:c>
      <x:c r="D9" s="34" t="n">
        <x:v>121</x:v>
      </x:c>
      <x:c r="E9" s="34" t="n">
        <x:v>180</x:v>
      </x:c>
      <x:c r="F9" s="34" t="n">
        <x:v>4</x:v>
      </x:c>
      <x:c r="G9" s="34" t="n">
        <x:v>5</x:v>
      </x:c>
      <x:c r="H9" s="34" t="str">
        <x:v>Tangan &amp; Koordinasi</x:v>
      </x:c>
      <x:c r="I9" s="34" t="str">
        <x:v>Berpikir &amp; Eksplorasi</x:v>
      </x:c>
      <x:c r="J9" s="34" t="str">
        <x:v>koordinasi</x:v>
      </x:c>
      <x:c r="K9" s="34" t="n">
        <x:v>4</x:v>
      </x:c>
      <x:c r="L9" s="34" t="str">
        <x:v>Mainan besar tergantung aman/play gym kokoh</x:v>
      </x:c>
      <x:c r="M9" s="34" t="str">
        <x:v>Memberi kesempatan menghubungkan penglihatan dengan gerakan lengan untuk menyentuh benda.</x:v>
      </x:c>
      <x:c r="N9" s="34" t="str">
        <x:v>Aktivitas menyiapkan kesempatan bagi bayi untuk mengayun, menyentuh, dan mengulang gerakan bila tertarik.</x:v>
      </x:c>
      <x:c r="O9" s="34" t="str">
        <x:v>1) Tempatkan mainan aman di depan dalam jangkauan. 2) Biarkan bayi melihat. 3) Tunggu bayi mengayunkan lengan tanpa memegang tangannya.</x:v>
      </x:c>
      <x:c r="P9" s="34" t="str">
        <x:v>Melihat target; mengayunkan lengan; menyentuh mainan; mengulang gerakan.</x:v>
      </x:c>
      <x:c r="Q9" s="34" t="str">
        <x:v>Dekatkan mainan.</x:v>
      </x:c>
      <x:c r="R9" s="34" t="str">
        <x:v>Gunakan mainan yang bergerak lembut saat disentuh.</x:v>
      </x:c>
      <x:c r="S9" s="34" t="str">
        <x:v>Tidak ada tali panjang/jeratan; mainan terpasang kuat; jangan berada tepat di atas wajah.</x:v>
      </x:c>
      <x:c r="T9" s="34" t="str">
        <x:v>Hentikan bila mainan longgar atau bayi frustrasi.</x:v>
      </x:c>
      <x:c r="U9" s="34" t="str">
        <x:v>Prematur: sesuaikan jarak dan stimulasi.</x:v>
      </x:c>
      <x:c r="V9" s="34" t="str">
        <x:v>SRC_CDC_4M_2026</x:v>
      </x:c>
      <x:c r="W9" s="34" t="str">
        <x:v>CDC 4 bulan mencantumkan swings arm at toys dan kesempatan reaching/kicking.</x:v>
      </x:c>
      <x:c r="X9" s="34" t="str">
        <x:v>source_checked</x:v>
      </x:c>
      <x:c r="Y9" s="34" t="str"/>
      <x:c r="Z9" s="34" t="str"/>
      <x:c r="AA9" s="34" t="str">
        <x:v>v0.2</x:v>
      </x:c>
    </x:row>
    <x:row r="10">
      <x:c r="A10" s="34" t="str">
        <x:v>ACT041</x:v>
      </x:c>
      <x:c r="B10" s="34" t="str">
        <x:v>Raih Mainan yang Diinginkan</x:v>
      </x:c>
      <x:c r="C10" s="34" t="str">
        <x:v>5–6 bulan</x:v>
      </x:c>
      <x:c r="D10" s="34" t="n">
        <x:v>151</x:v>
      </x:c>
      <x:c r="E10" s="34" t="n">
        <x:v>210</x:v>
      </x:c>
      <x:c r="F10" s="34" t="n">
        <x:v>5</x:v>
      </x:c>
      <x:c r="G10" s="34" t="n">
        <x:v>6</x:v>
      </x:c>
      <x:c r="H10" s="34" t="str">
        <x:v>Tangan &amp; Koordinasi</x:v>
      </x:c>
      <x:c r="I10" s="34" t="str">
        <x:v>Berpikir &amp; Eksplorasi</x:v>
      </x:c>
      <x:c r="J10" s="34" t="str">
        <x:v>koordinasi</x:v>
      </x:c>
      <x:c r="K10" s="34" t="n">
        <x:v>5</x:v>
      </x:c>
      <x:c r="L10" s="34" t="str">
        <x:v>Mainan favorit besar dan aman</x:v>
      </x:c>
      <x:c r="M10" s="34" t="str">
        <x:v>Memberi kesempatan mengarahkan tangan secara lebih terencana ke benda yang menarik minat.</x:v>
      </x:c>
      <x:c r="N10" s="34" t="str">
        <x:v>CDC 6 bulan mencantumkan reaching to grab a toy as a cognitive/motor observation.</x:v>
      </x:c>
      <x:c r="O10" s="34" t="str">
        <x:v>1) Tunjukkan mainan di depan dalam jarak yang bisa dijangkau. 2) Tunggu. 3) Beri waktu beberapa detik sebelum membantu.</x:v>
      </x:c>
      <x:c r="P10" s="34" t="str">
        <x:v>Fokus pada mainan; tangan mendekat; meraih; menggenggam.</x:v>
      </x:c>
      <x:c r="Q10" s="34" t="str">
        <x:v>Dekatkan mainan.</x:v>
      </x:c>
      <x:c r="R10" s="34" t="str">
        <x:v>Tawarkan dari sisi kanan/kiri bergantian pada sesi berbeda.</x:v>
      </x:c>
      <x:c r="S10" s="34" t="str">
        <x:v>Jangan menaruh terlalu jauh hingga memaksa posisi tidak aman; objek bebas bagian kecil.</x:v>
      </x:c>
      <x:c r="T10" s="34" t="str">
        <x:v>Hentikan bila bayi lelah atau frustrasi berlebihan.</x:v>
      </x:c>
      <x:c r="U10" s="34" t="str">
        <x:v>Prematur: corrected age untuk matching.</x:v>
      </x:c>
      <x:c r="V10" s="34" t="str">
        <x:v>SRC_CDC_6M_2026; SRC_UNICEF_CCD_CARDS</x:v>
      </x:c>
      <x:c r="W10" s="34" t="str">
        <x:v>CDC 6 bulan: reaches to grab a toy; CCD mendorong reaching for safe objects.</x:v>
      </x:c>
      <x:c r="X10" s="34" t="str">
        <x:v>source_checked</x:v>
      </x:c>
      <x:c r="Y10" s="34" t="str"/>
      <x:c r="Z10" s="34" t="str"/>
      <x:c r="AA10" s="34" t="str">
        <x:v>v0.2</x:v>
      </x:c>
    </x:row>
    <x:row r="11">
      <x:c r="A11" s="34" t="str">
        <x:v>ACT042</x:v>
      </x:c>
      <x:c r="B11" s="34" t="str">
        <x:v>Pindahkan Mainan Antartangan</x:v>
      </x:c>
      <x:c r="C11" s="34" t="str">
        <x:v>5–6 bulan</x:v>
      </x:c>
      <x:c r="D11" s="34" t="n">
        <x:v>151</x:v>
      </x:c>
      <x:c r="E11" s="34" t="n">
        <x:v>210</x:v>
      </x:c>
      <x:c r="F11" s="34" t="n">
        <x:v>5</x:v>
      </x:c>
      <x:c r="G11" s="34" t="n">
        <x:v>6</x:v>
      </x:c>
      <x:c r="H11" s="34" t="str">
        <x:v>Tangan &amp; Koordinasi</x:v>
      </x:c>
      <x:c r="I11" s="34" t="str">
        <x:v>Berpikir &amp; Eksplorasi</x:v>
      </x:c>
      <x:c r="J11" s="34" t="str">
        <x:v>koordinasi</x:v>
      </x:c>
      <x:c r="K11" s="34" t="n">
        <x:v>5</x:v>
      </x:c>
      <x:c r="L11" s="34" t="str">
        <x:v>Satu atau dua mainan ringan besar</x:v>
      </x:c>
      <x:c r="M11" s="34" t="str">
        <x:v>Memberi kesempatan menggunakan kedua tangan dan mengeksplorasi bagaimana benda dapat dipindahkan atau dilepas.</x:v>
      </x:c>
      <x:c r="N11" s="34" t="str">
        <x:v>Aktivitas ini tidak menuntut keberhasilan transfer; caregiver hanya menyediakan peluang koordinasi bilateral.</x:v>
      </x:c>
      <x:c r="O11" s="34" t="str">
        <x:v>1) Berikan satu mainan pada satu tangan. 2) Tawarkan mainan kedua dari sisi lain. 3) Tunggu bayi memindahkan, melepaskan, atau menggunakan kedua tangan.</x:v>
      </x:c>
      <x:c r="P11" s="34" t="str">
        <x:v>Menggunakan kedua tangan; memindahkan benda; melepas satu benda; melihat tangan.</x:v>
      </x:c>
      <x:c r="Q11" s="34" t="str">
        <x:v>Gunakan satu mainan saja dan biarkan kedua tangan menyentuh.</x:v>
      </x:c>
      <x:c r="R11" s="34" t="str">
        <x:v>Gunakan dua benda bentuk berbeda.</x:v>
      </x:c>
      <x:c r="S11" s="34" t="str">
        <x:v>Benda besar, ringan, utuh; selalu diawasi.</x:v>
      </x:c>
      <x:c r="T11" s="34" t="str">
        <x:v>Hentikan bila bayi lelah atau benda rusak.</x:v>
      </x:c>
      <x:c r="U11" s="34" t="str">
        <x:v>Prematur: sesuaikan dengan kemampuan aktual.</x:v>
      </x:c>
      <x:c r="V11" s="34" t="str">
        <x:v>SRC_UNICEF_CCD_CARDS; SRC_CDC_6M_2026</x:v>
      </x:c>
      <x:c r="W11" s="34" t="str">
        <x:v>CCD menekankan reach/touch/explore; digunakan secara konservatif sebagai koordinasi tangan, bukan milestone wajib.</x:v>
      </x:c>
      <x:c r="X11" s="34" t="str">
        <x:v>source_checked</x:v>
      </x:c>
      <x:c r="Y11" s="34" t="str"/>
      <x:c r="Z11" s="34" t="str"/>
      <x:c r="AA11" s="34" t="str">
        <x:v>v0.2</x:v>
      </x:c>
    </x:row>
    <x:row r="12">
      <x:c r="A12" s="34" t="str">
        <x:v>ACT043</x:v>
      </x:c>
      <x:c r="B12" s="34" t="str">
        <x:v>Ketuk Mainan ke Matras</x:v>
      </x:c>
      <x:c r="C12" s="34" t="str">
        <x:v>5–6 bulan</x:v>
      </x:c>
      <x:c r="D12" s="34" t="n">
        <x:v>151</x:v>
      </x:c>
      <x:c r="E12" s="34" t="n">
        <x:v>210</x:v>
      </x:c>
      <x:c r="F12" s="34" t="n">
        <x:v>5</x:v>
      </x:c>
      <x:c r="G12" s="34" t="n">
        <x:v>6</x:v>
      </x:c>
      <x:c r="H12" s="34" t="str">
        <x:v>Tangan &amp; Koordinasi</x:v>
      </x:c>
      <x:c r="I12" s="34" t="str">
        <x:v>Berpikir &amp; Eksplorasi</x:v>
      </x:c>
      <x:c r="J12" s="34" t="str">
        <x:v>sebab-akibat</x:v>
      </x:c>
      <x:c r="K12" s="34" t="n">
        <x:v>4</x:v>
      </x:c>
      <x:c r="L12" s="34" t="str">
        <x:v>Mainan ringan besar yang aman</x:v>
      </x:c>
      <x:c r="M12" s="34" t="str">
        <x:v>Memberi kesempatan melatih kontrol tangan sambil mengalami perubahan suara atau sensasi ketika benda menyentuh permukaan.</x:v>
      </x:c>
      <x:c r="N12" s="34" t="str">
        <x:v>Pengulangan gerak sederhana dapat memberi pengalaman sebab-akibat awal tanpa perlu instruksi kompleks.</x:v>
      </x:c>
      <x:c r="O12" s="34" t="str">
        <x:v>1) Berikan mainan ringan. 2) Tunjukkan sekali cara mengetuk lembut ke matras. 3) Biarkan bayi memegang dan mengeksplorasi.</x:v>
      </x:c>
      <x:c r="P12" s="34" t="str">
        <x:v>Menggerakkan benda; mengetuk/menjatuhkan; melihat atau mendengar hasilnya.</x:v>
      </x:c>
      <x:c r="Q12" s="34" t="str">
        <x:v>Gunakan benda lunak tanpa bunyi keras.</x:v>
      </x:c>
      <x:c r="R12" s="34" t="str">
        <x:v>Gunakan dua permukaan aman dengan bunyi berbeda pada sesi terpisah.</x:v>
      </x:c>
      <x:c r="S12" s="34" t="str">
        <x:v>Benda tidak berat/tajam; jauh dari wajah; jangan gunakan permukaan keras.</x:v>
      </x:c>
      <x:c r="T12" s="34" t="str">
        <x:v>Hentikan bila gerakan membuat bayi/alat tidak aman.</x:v>
      </x:c>
      <x:c r="U12" s="34" t="str">
        <x:v>Prematur: gunakan benda sangat ringan.</x:v>
      </x:c>
      <x:c r="V12" s="34" t="str">
        <x:v>SRC_CDC_6M_2026; SRC_UNICEF_CCD</x:v>
      </x:c>
      <x:c r="W12" s="34" t="str">
        <x:v>Selaras dengan exploration dan cause-effect sederhana dalam floor play.</x:v>
      </x:c>
      <x:c r="X12" s="34" t="str">
        <x:v>source_checked</x:v>
      </x:c>
      <x:c r="Y12" s="34" t="str"/>
      <x:c r="Z12" s="34" t="str"/>
      <x:c r="AA12" s="34" t="str">
        <x:v>v0.2</x:v>
      </x:c>
    </x:row>
    <x:row r="13">
      <x:c r="A13" s="34" t="str">
        <x:v>ACT044</x:v>
      </x:c>
      <x:c r="B13" s="34" t="str">
        <x:v>Eksplorasi Dua Tekstur Aman</x:v>
      </x:c>
      <x:c r="C13" s="34" t="str">
        <x:v>4–6 bulan</x:v>
      </x:c>
      <x:c r="D13" s="34" t="n">
        <x:v>121</x:v>
      </x:c>
      <x:c r="E13" s="34" t="n">
        <x:v>210</x:v>
      </x:c>
      <x:c r="F13" s="34" t="n">
        <x:v>4</x:v>
      </x:c>
      <x:c r="G13" s="34" t="n">
        <x:v>6</x:v>
      </x:c>
      <x:c r="H13" s="34" t="str">
        <x:v>Tangan &amp; Koordinasi</x:v>
      </x:c>
      <x:c r="I13" s="34" t="str">
        <x:v>Berpikir &amp; Eksplorasi</x:v>
      </x:c>
      <x:c r="J13" s="34" t="str">
        <x:v>sensorik</x:v>
      </x:c>
      <x:c r="K13" s="34" t="n">
        <x:v>4</x:v>
      </x:c>
      <x:c r="L13" s="34" t="str">
        <x:v>Dua benda besar dengan tekstur aman, mis. kain halus dan kain bertekstur</x:v>
      </x:c>
      <x:c r="M13" s="34" t="str">
        <x:v>Memberi kesempatan membandingkan sensasi sentuhan dan menggunakan tangan untuk mengeksplorasi.</x:v>
      </x:c>
      <x:c r="N13" s="34" t="str">
        <x:v>Bayi belajar melalui melihat, menyentuh, mendengar, dan memasukkan benda aman ke mulut pada fase ini.</x:v>
      </x:c>
      <x:c r="O13" s="34" t="str">
        <x:v>1) Tawarkan satu tekstur dulu. 2) Biarkan menyentuh/menggenggam. 3) Setelah beberapa saat, ganti dengan tekstur lain.</x:v>
      </x:c>
      <x:c r="P13" s="34" t="str">
        <x:v>Menggenggam; mengusap; melihat benda; membawa ke mulut.</x:v>
      </x:c>
      <x:c r="Q13" s="34" t="str">
        <x:v>Gunakan satu tekstur.</x:v>
      </x:c>
      <x:c r="R13" s="34" t="str">
        <x:v>Gunakan dua bentuk/tekstur pada sesi berbeda.</x:v>
      </x:c>
      <x:c r="S13" s="34" t="str">
        <x:v>Bahan bersih, tidak rontok, tidak tajam, tidak kecil; selalu diawasi.</x:v>
      </x:c>
      <x:c r="T13" s="34" t="str">
        <x:v>Hentikan bila ada iritasi, benda rusak, atau bayi tidak nyaman.</x:v>
      </x:c>
      <x:c r="U13" s="34" t="str">
        <x:v>Prematur/sensitif: satu rangsang per sesi.</x:v>
      </x:c>
      <x:c r="V13" s="34" t="str">
        <x:v>SRC_UNICEF_CCD_CARDS; SRC_CDC_4M_2026</x:v>
      </x:c>
      <x:c r="W13" s="34" t="str">
        <x:v>CDC/CCD mendukung safe sensory exploration dan safe mouthing.</x:v>
      </x:c>
      <x:c r="X13" s="34" t="str">
        <x:v>source_checked</x:v>
      </x:c>
      <x:c r="Y13" s="34" t="str"/>
      <x:c r="Z13" s="34" t="str"/>
      <x:c r="AA13" s="34" t="str">
        <x:v>v0.2</x:v>
      </x:c>
    </x:row>
    <x:row r="14">
      <x:c r="A14" s="34" t="str">
        <x:v>ACT045</x:v>
      </x:c>
      <x:c r="B14" s="34" t="str">
        <x:v>Balas Suara Si Kecil</x:v>
      </x:c>
      <x:c r="C14" s="34" t="str">
        <x:v>4–6 bulan</x:v>
      </x:c>
      <x:c r="D14" s="34" t="n">
        <x:v>121</x:v>
      </x:c>
      <x:c r="E14" s="34" t="n">
        <x:v>210</x:v>
      </x:c>
      <x:c r="F14" s="34" t="n">
        <x:v>4</x:v>
      </x:c>
      <x:c r="G14" s="34" t="n">
        <x:v>6</x:v>
      </x:c>
      <x:c r="H14" s="34" t="str">
        <x:v>Bahasa &amp; Komunikasi</x:v>
      </x:c>
      <x:c r="I14" s="34" t="str">
        <x:v>Sosial &amp; Emosi</x:v>
      </x:c>
      <x:c r="J14" s="34" t="str">
        <x:v>komunikasi</x:v>
      </x:c>
      <x:c r="K14" s="34" t="n">
        <x:v>5</x:v>
      </x:c>
      <x:c r="L14" s="34" t="str">
        <x:v>Tidak perlu alat</x:v>
      </x:c>
      <x:c r="M14" s="34" t="str">
        <x:v>Memberi kesempatan mengalami komunikasi bergantian dan bahwa suara Si Kecil mendapatkan respons.</x:v>
      </x:c>
      <x:c r="N14" s="34" t="str">
        <x:v>CDC dan WHO/UNICEF mendorong back-and-forth interaction serta meniru suara bayi.</x:v>
      </x:c>
      <x:c r="O14" s="34" t="str">
        <x:v>1) Tunggu bayi mengeluarkan suara. 2) Tiru atau jawab dengan suara pendek. 3) Jeda 3–5 detik dan tunggu respons.</x:v>
      </x:c>
      <x:c r="P14" s="34" t="str">
        <x:v>Bersuara kembali; menatap; tersenyum; bergerak untuk mempertahankan perhatian.</x:v>
      </x:c>
      <x:c r="Q14" s="34" t="str">
        <x:v>Balas satu suara saja.</x:v>
      </x:c>
      <x:c r="R14" s="34" t="str">
        <x:v>Tambahkan satu bunyi sederhana setelah beberapa putaran.</x:v>
      </x:c>
      <x:c r="S14" s="34" t="str">
        <x:v>Volume lembut; jangan memaksa bayi terus berinteraksi.</x:v>
      </x:c>
      <x:c r="T14" s="34" t="str">
        <x:v>Hentikan bila memalingkan diri terus, mengantuk, atau rewel.</x:v>
      </x:c>
      <x:c r="U14" s="34" t="str">
        <x:v>Prematur: ikuti cue dan quiet-alert state.</x:v>
      </x:c>
      <x:c r="V14" s="34" t="str">
        <x:v>SRC_CDC_4M_2026; SRC_CDC_6M_2026; SRC_UNICEF_CCD_CARDS</x:v>
      </x:c>
      <x:c r="W14" s="34" t="str">
        <x:v>CDC 4/6 bulan merekomendasikan copy sounds dan back-and-forth play.</x:v>
      </x:c>
      <x:c r="X14" s="34" t="str">
        <x:v>source_checked</x:v>
      </x:c>
      <x:c r="Y14" s="34" t="str"/>
      <x:c r="Z14" s="34" t="str"/>
      <x:c r="AA14" s="34" t="str">
        <x:v>v0.2</x:v>
      </x:c>
    </x:row>
    <x:row r="15">
      <x:c r="A15" s="34" t="str">
        <x:v>ACT046</x:v>
      </x:c>
      <x:c r="B15" s="34" t="str">
        <x:v>Percakapan Bergiliran dengan Nama Si Kecil</x:v>
      </x:c>
      <x:c r="C15" s="34" t="str">
        <x:v>4–6 bulan</x:v>
      </x:c>
      <x:c r="D15" s="34" t="n">
        <x:v>121</x:v>
      </x:c>
      <x:c r="E15" s="34" t="n">
        <x:v>210</x:v>
      </x:c>
      <x:c r="F15" s="34" t="n">
        <x:v>4</x:v>
      </x:c>
      <x:c r="G15" s="34" t="n">
        <x:v>6</x:v>
      </x:c>
      <x:c r="H15" s="34" t="str">
        <x:v>Bahasa &amp; Komunikasi</x:v>
      </x:c>
      <x:c r="I15" s="34" t="str">
        <x:v>Sosial &amp; Emosi</x:v>
      </x:c>
      <x:c r="J15" s="34" t="str">
        <x:v>komunikasi</x:v>
      </x:c>
      <x:c r="K15" s="34" t="n">
        <x:v>5</x:v>
      </x:c>
      <x:c r="L15" s="34" t="str">
        <x:v>Tidak perlu alat</x:v>
      </x:c>
      <x:c r="M15" s="34" t="str">
        <x:v>Memberi paparan bahasa dan pola giliran sederhana dalam percakapan sehari-hari.</x:v>
      </x:c>
      <x:c r="N15" s="34" t="str">
        <x:v>Panggilan nama dipakai sebagai bagian interaksi hangat, bukan tes apakah bayi sudah mengenali namanya.</x:v>
      </x:c>
      <x:c r="O15" s="34" t="str">
        <x:v>1) Sebut nama Si Kecil dalam satu kalimat. 2) Tunggu respons. 3) Balas suara/ekspresi yang muncul.</x:v>
      </x:c>
      <x:c r="P15" s="34" t="str">
        <x:v>Menatap caregiver; suara balasan; senyum; gerakan untuk mempertahankan interaksi.</x:v>
      </x:c>
      <x:c r="Q15" s="34" t="str">
        <x:v>Gunakan satu kalimat pendek.</x:v>
      </x:c>
      <x:c r="R15" s="34" t="str">
        <x:v>Gunakan nama dalam lagu sederhana.</x:v>
      </x:c>
      <x:c r="S15" s="34" t="str">
        <x:v>Jangan mengulang keras/berlebihan untuk 'menguji' respons nama.</x:v>
      </x:c>
      <x:c r="T15" s="34" t="str">
        <x:v>Hentikan bila bayi lelah atau tidak tertarik.</x:v>
      </x:c>
      <x:c r="U15" s="34" t="str">
        <x:v>Prematur: sama, ikuti cue.</x:v>
      </x:c>
      <x:c r="V15" s="34" t="str">
        <x:v>SRC_CDC_4M_2026; SRC_CDC_6M_2026</x:v>
      </x:c>
      <x:c r="W15" s="34" t="str">
        <x:v>CDC menyarankan talking, calling baby by name, dan back-and-forth play; recognition nama sendiri biasanya lebih kemudian.</x:v>
      </x:c>
      <x:c r="X15" s="34" t="str">
        <x:v>source_checked</x:v>
      </x:c>
      <x:c r="Y15" s="34" t="str"/>
      <x:c r="Z15" s="34" t="str"/>
      <x:c r="AA15" s="34" t="str">
        <x:v>v0.2</x:v>
      </x:c>
    </x:row>
    <x:row r="16">
      <x:c r="A16" s="34" t="str">
        <x:v>ACT047</x:v>
      </x:c>
      <x:c r="B16" s="34" t="str">
        <x:v>Buku Gambar: Sebut Satu Benda</x:v>
      </x:c>
      <x:c r="C16" s="34" t="str">
        <x:v>4–6 bulan</x:v>
      </x:c>
      <x:c r="D16" s="34" t="n">
        <x:v>121</x:v>
      </x:c>
      <x:c r="E16" s="34" t="n">
        <x:v>210</x:v>
      </x:c>
      <x:c r="F16" s="34" t="n">
        <x:v>4</x:v>
      </x:c>
      <x:c r="G16" s="34" t="n">
        <x:v>6</x:v>
      </x:c>
      <x:c r="H16" s="34" t="str">
        <x:v>Bahasa &amp; Komunikasi</x:v>
      </x:c>
      <x:c r="I16" s="34" t="str">
        <x:v>Berpikir &amp; Eksplorasi</x:v>
      </x:c>
      <x:c r="J16" s="34" t="str">
        <x:v>komunikasi</x:v>
      </x:c>
      <x:c r="K16" s="34" t="n">
        <x:v>5</x:v>
      </x:c>
      <x:c r="L16" s="34" t="str">
        <x:v>Board book/gambar sederhana</x:v>
      </x:c>
      <x:c r="M16" s="34" t="str">
        <x:v>Memberi paparan kata yang terhubung dengan gambar sambil melatih perhatian bersama dengan caregiver.</x:v>
      </x:c>
      <x:c r="N16" s="34" t="str">
        <x:v>Membaca pada bayi berarti berbicara tentang gambar, bukan menuntut bayi memahami cerita.</x:v>
      </x:c>
      <x:c r="O16" s="34" t="str">
        <x:v>1) Tunjukkan satu gambar. 2) Sebutkan nama benda dengan kalimat pendek. 3) Tunggu bayi melihat, bersuara, atau menyentuh halaman.</x:v>
      </x:c>
      <x:c r="P16" s="34" t="str">
        <x:v>Menatap gambar; menyentuh buku; berganti pandang; bersuara.</x:v>
      </x:c>
      <x:c r="Q16" s="34" t="str">
        <x:v>Satu halaman saja.</x:v>
      </x:c>
      <x:c r="R16" s="34" t="str">
        <x:v>Tambahkan suara benda/hewan sederhana.</x:v>
      </x:c>
      <x:c r="S16" s="34" t="str">
        <x:v>Gunakan board book kokoh tanpa bagian lepas; awasi jika buku masuk mulut.</x:v>
      </x:c>
      <x:c r="T16" s="34" t="str">
        <x:v>Hentikan bila kehilangan minat atau buku rusak.</x:v>
      </x:c>
      <x:c r="U16" s="34" t="str">
        <x:v>Prematur: visual sederhana dan sesi singkat.</x:v>
      </x:c>
      <x:c r="V16" s="34" t="str">
        <x:v>SRC_CDC_4M_2026; SRC_CDC_6M_2026</x:v>
      </x:c>
      <x:c r="W16" s="34" t="str">
        <x:v>CDC mendorong talk/read/sing sebagai bagian stimulasi bahasa.</x:v>
      </x:c>
      <x:c r="X16" s="34" t="str">
        <x:v>source_checked</x:v>
      </x:c>
      <x:c r="Y16" s="34" t="str"/>
      <x:c r="Z16" s="34" t="str"/>
      <x:c r="AA16" s="34" t="str">
        <x:v>v0.2</x:v>
      </x:c>
    </x:row>
    <x:row r="17">
      <x:c r="A17" s="34" t="str">
        <x:v>ACT048</x:v>
      </x:c>
      <x:c r="B17" s="34" t="str">
        <x:v>Lagu dengan Jeda</x:v>
      </x:c>
      <x:c r="C17" s="34" t="str">
        <x:v>4–6 bulan</x:v>
      </x:c>
      <x:c r="D17" s="34" t="n">
        <x:v>121</x:v>
      </x:c>
      <x:c r="E17" s="34" t="n">
        <x:v>210</x:v>
      </x:c>
      <x:c r="F17" s="34" t="n">
        <x:v>4</x:v>
      </x:c>
      <x:c r="G17" s="34" t="n">
        <x:v>6</x:v>
      </x:c>
      <x:c r="H17" s="34" t="str">
        <x:v>Bahasa &amp; Komunikasi</x:v>
      </x:c>
      <x:c r="I17" s="34" t="str">
        <x:v>Sosial &amp; Emosi</x:v>
      </x:c>
      <x:c r="J17" s="34" t="str">
        <x:v>komunikasi</x:v>
      </x:c>
      <x:c r="K17" s="34" t="n">
        <x:v>5</x:v>
      </x:c>
      <x:c r="L17" s="34" t="str">
        <x:v>Tidak perlu alat</x:v>
      </x:c>
      <x:c r="M17" s="34" t="str">
        <x:v>Memberi pengalaman ritme, intonasi, dan kesempatan merespons pada jeda dalam interaksi.</x:v>
      </x:c>
      <x:c r="N17" s="34" t="str">
        <x:v>Jeda membantu caregiver tidak mendominasi interaksi dan memberi ruang bagi suara/gerak bayi.</x:v>
      </x:c>
      <x:c r="O17" s="34" t="str">
        <x:v>1) Nyanyikan potongan lagu pendek. 2) Berhenti sejenak. 3) Amati respons bayi lalu lanjutkan.</x:v>
      </x:c>
      <x:c r="P17" s="34" t="str">
        <x:v>Suara; senyum; gerakan; melihat caregiver saat jeda.</x:v>
      </x:c>
      <x:c r="Q17" s="34" t="str">
        <x:v>Lagu satu bait.</x:v>
      </x:c>
      <x:c r="R17" s="34" t="str">
        <x:v>Ulangi bagian favorit berdasarkan respons bayi.</x:v>
      </x:c>
      <x:c r="S17" s="34" t="str">
        <x:v>Volume lembut; jangan dekat telinga.</x:v>
      </x:c>
      <x:c r="T17" s="34" t="str">
        <x:v>Hentikan bila bayi overstimulated atau ingin tidur/makan.</x:v>
      </x:c>
      <x:c r="U17" s="34" t="str">
        <x:v>Prematur: durasi pendek.</x:v>
      </x:c>
      <x:c r="V17" s="34" t="str">
        <x:v>SRC_CDC_4M_2026; SRC_CDC_6M_2026; SRC_UNICEF_CCD</x:v>
      </x:c>
      <x:c r="W17" s="34" t="str">
        <x:v>CDC menyarankan singing dan back-and-forth; CCD menekankan responsive communication.</x:v>
      </x:c>
      <x:c r="X17" s="34" t="str">
        <x:v>source_checked</x:v>
      </x:c>
      <x:c r="Y17" s="34" t="str"/>
      <x:c r="Z17" s="34" t="str"/>
      <x:c r="AA17" s="34" t="str">
        <x:v>v0.2</x:v>
      </x:c>
    </x:row>
    <x:row r="18">
      <x:c r="A18" s="34" t="str">
        <x:v>ACT049</x:v>
      </x:c>
      <x:c r="B18" s="34" t="str">
        <x:v>Main Bunyi 'Ooo–Aah'</x:v>
      </x:c>
      <x:c r="C18" s="34" t="str">
        <x:v>4–5 bulan</x:v>
      </x:c>
      <x:c r="D18" s="34" t="n">
        <x:v>121</x:v>
      </x:c>
      <x:c r="E18" s="34" t="n">
        <x:v>180</x:v>
      </x:c>
      <x:c r="F18" s="34" t="n">
        <x:v>4</x:v>
      </x:c>
      <x:c r="G18" s="34" t="n">
        <x:v>5</x:v>
      </x:c>
      <x:c r="H18" s="34" t="str">
        <x:v>Bahasa &amp; Komunikasi</x:v>
      </x:c>
      <x:c r="I18" s="34" t="str">
        <x:v>Sosial &amp; Emosi</x:v>
      </x:c>
      <x:c r="J18" s="34" t="str">
        <x:v>komunikasi</x:v>
      </x:c>
      <x:c r="K18" s="34" t="n">
        <x:v>4</x:v>
      </x:c>
      <x:c r="L18" s="34" t="str">
        <x:v>Tidak perlu alat</x:v>
      </x:c>
      <x:c r="M18" s="34" t="str">
        <x:v>Memberi kesempatan Si Kecil mendengar variasi bunyi vokal dan bereksperimen dengan suara sendiri.</x:v>
      </x:c>
      <x:c r="N18" s="34" t="str">
        <x:v>CDC 4 bulan mencantumkan cooing seperti 'oooo' dan 'aahh' sebagai milestone komunikasi.</x:v>
      </x:c>
      <x:c r="O18" s="34" t="str">
        <x:v>1) Saat bayi bersuara, tiru bunyinya. 2) Tambahkan variasi kecil seperti 'ooo' atau 'aah'. 3) Tunggu tanpa menuntut tiruan.</x:v>
      </x:c>
      <x:c r="P18" s="34" t="str">
        <x:v>Cooing; suara balasan; perhatian pada wajah.</x:v>
      </x:c>
      <x:c r="Q18" s="34" t="str">
        <x:v>Tiru bunyi bayi saja.</x:v>
      </x:c>
      <x:c r="R18" s="34" t="str">
        <x:v>Tambahkan variasi vokal satu per satu.</x:v>
      </x:c>
      <x:c r="S18" s="34" t="str">
        <x:v>Jangan menuntut bayi meniru suara tertentu.</x:v>
      </x:c>
      <x:c r="T18" s="34" t="str">
        <x:v>Hentikan bila bayi lelah/tidak tertarik.</x:v>
      </x:c>
      <x:c r="U18" s="34" t="str">
        <x:v>Prematur: ikuti cue.</x:v>
      </x:c>
      <x:c r="V18" s="34" t="str">
        <x:v>SRC_CDC_4M_2026</x:v>
      </x:c>
      <x:c r="W18" s="34" t="str">
        <x:v>Berbasis milestone cooing dan tips copy sounds CDC.</x:v>
      </x:c>
      <x:c r="X18" s="34" t="str">
        <x:v>source_checked</x:v>
      </x:c>
      <x:c r="Y18" s="34" t="str"/>
      <x:c r="Z18" s="34" t="str"/>
      <x:c r="AA18" s="34" t="str">
        <x:v>v0.2</x:v>
      </x:c>
    </x:row>
    <x:row r="19">
      <x:c r="A19" s="34" t="str">
        <x:v>ACT050</x:v>
      </x:c>
      <x:c r="B19" s="34" t="str">
        <x:v>Balas Raspberry atau Squeal</x:v>
      </x:c>
      <x:c r="C19" s="34" t="str">
        <x:v>5–6 bulan</x:v>
      </x:c>
      <x:c r="D19" s="34" t="n">
        <x:v>151</x:v>
      </x:c>
      <x:c r="E19" s="34" t="n">
        <x:v>210</x:v>
      </x:c>
      <x:c r="F19" s="34" t="n">
        <x:v>5</x:v>
      </x:c>
      <x:c r="G19" s="34" t="n">
        <x:v>6</x:v>
      </x:c>
      <x:c r="H19" s="34" t="str">
        <x:v>Bahasa &amp; Komunikasi</x:v>
      </x:c>
      <x:c r="I19" s="34" t="str">
        <x:v>Sosial &amp; Emosi</x:v>
      </x:c>
      <x:c r="J19" s="34" t="str">
        <x:v>komunikasi</x:v>
      </x:c>
      <x:c r="K19" s="34" t="n">
        <x:v>4</x:v>
      </x:c>
      <x:c r="L19" s="34" t="str">
        <x:v>Tidak perlu alat</x:v>
      </x:c>
      <x:c r="M19" s="34" t="str">
        <x:v>Memberi kesempatan Si Kecil bereksperimen dengan suara dan mengalami respons sosial dari caregiver.</x:v>
      </x:c>
      <x:c r="N19" s="34" t="str">
        <x:v>CDC 6 bulan mencantumkan blowing raspberries dan squealing sebagai bentuk eksplorasi suara.</x:v>
      </x:c>
      <x:c r="O19" s="34" t="str">
        <x:v>1) Jika bayi membuat raspberry/squeal, senyum dan balas dengan bunyi sederhana. 2) Jeda. 3) Ikuti respons berikutnya.</x:v>
      </x:c>
      <x:c r="P19" s="34" t="str">
        <x:v>Mengulang bunyi; tertawa; menatap; bergantian suara.</x:v>
      </x:c>
      <x:c r="Q19" s="34" t="str">
        <x:v>Cukup tersenyum dan balas suara normal.</x:v>
      </x:c>
      <x:c r="R19" s="34" t="str">
        <x:v>Tiru sekali lalu kembali ke percakapan biasa.</x:v>
      </x:c>
      <x:c r="S19" s="34" t="str">
        <x:v>Jangan membuat suara terlalu keras/mengejutkan.</x:v>
      </x:c>
      <x:c r="T19" s="34" t="str">
        <x:v>Hentikan bila bayi memalingkan diri atau lelah.</x:v>
      </x:c>
      <x:c r="U19" s="34" t="str">
        <x:v>Prematur: sesuai corrected age.</x:v>
      </x:c>
      <x:c r="V19" s="34" t="str">
        <x:v>SRC_CDC_6M_2026</x:v>
      </x:c>
      <x:c r="W19" s="34" t="str">
        <x:v>CDC 6 bulan: blows raspberries dan makes squealing noises.</x:v>
      </x:c>
      <x:c r="X19" s="34" t="str">
        <x:v>source_checked</x:v>
      </x:c>
      <x:c r="Y19" s="34" t="str"/>
      <x:c r="Z19" s="34" t="str"/>
      <x:c r="AA19" s="34" t="str">
        <x:v>v0.2</x:v>
      </x:c>
    </x:row>
    <x:row r="20">
      <x:c r="A20" s="34" t="str">
        <x:v>ACT051</x:v>
      </x:c>
      <x:c r="B20" s="34" t="str">
        <x:v>Peek-a-Boo dengan Tangan</x:v>
      </x:c>
      <x:c r="C20" s="34" t="str">
        <x:v>4–6 bulan</x:v>
      </x:c>
      <x:c r="D20" s="34" t="n">
        <x:v>121</x:v>
      </x:c>
      <x:c r="E20" s="34" t="n">
        <x:v>210</x:v>
      </x:c>
      <x:c r="F20" s="34" t="n">
        <x:v>4</x:v>
      </x:c>
      <x:c r="G20" s="34" t="n">
        <x:v>6</x:v>
      </x:c>
      <x:c r="H20" s="34" t="str">
        <x:v>Sosial &amp; Emosi</x:v>
      </x:c>
      <x:c r="I20" s="34" t="str">
        <x:v>Berpikir &amp; Eksplorasi</x:v>
      </x:c>
      <x:c r="J20" s="34" t="str">
        <x:v>sosial</x:v>
      </x:c>
      <x:c r="K20" s="34" t="n">
        <x:v>4</x:v>
      </x:c>
      <x:c r="L20" s="34" t="str">
        <x:v>Tidak perlu alat</x:v>
      </x:c>
      <x:c r="M20" s="34" t="str">
        <x:v>Memberi kesempatan menikmati interaksi berulang, mengantisipasi kemunculan wajah, dan berbagi perhatian dengan caregiver.</x:v>
      </x:c>
      <x:c r="N20" s="34" t="str">
        <x:v>CDC secara eksplisit menyarankan permainan peek-a-boo pada usia sekitar empat bulan.</x:v>
      </x:c>
      <x:c r="O20" s="34" t="str">
        <x:v>1) Tatap bayi dan senyum. 2) Tutup wajah caregiver dengan tangan sebentar. 3) Buka sambil berkata 'ciluk-ba'. 4) Amati respons.</x:v>
      </x:c>
      <x:c r="P20" s="34" t="str">
        <x:v>Senyum; tertawa/terkekeh; menatap; menunggu kemunculan wajah.</x:v>
      </x:c>
      <x:c r="Q20" s="34" t="str">
        <x:v>Tutup sebagian wajah.</x:v>
      </x:c>
      <x:c r="R20" s="34" t="str">
        <x:v>Ulangi 2–3 kali bila bayi menikmati.</x:v>
      </x:c>
      <x:c r="S20" s="34" t="str">
        <x:v>Jangan menutup wajah bayi dengan kain; jangan membuat kejutan keras.</x:v>
      </x:c>
      <x:c r="T20" s="34" t="str">
        <x:v>Hentikan bila bayi kaget/tidak menikmati.</x:v>
      </x:c>
      <x:c r="U20" s="34" t="str">
        <x:v>Prematur: mulai sangat singkat.</x:v>
      </x:c>
      <x:c r="V20" s="34" t="str">
        <x:v>SRC_CDC_4M_2026</x:v>
      </x:c>
      <x:c r="W20" s="34" t="str">
        <x:v>CDC 4 bulan menyarankan peek-a-boo sebagai permainan sosial sederhana.</x:v>
      </x:c>
      <x:c r="X20" s="34" t="str">
        <x:v>source_checked</x:v>
      </x:c>
      <x:c r="Y20" s="34" t="str"/>
      <x:c r="Z20" s="34" t="str"/>
      <x:c r="AA20" s="34" t="str">
        <x:v>v0.2</x:v>
      </x:c>
    </x:row>
    <x:row r="21">
      <x:c r="A21" s="34" t="str">
        <x:v>ACT052</x:v>
      </x:c>
      <x:c r="B21" s="34" t="str">
        <x:v>Cermin dan Senyum Bersama</x:v>
      </x:c>
      <x:c r="C21" s="34" t="str">
        <x:v>4–6 bulan</x:v>
      </x:c>
      <x:c r="D21" s="34" t="n">
        <x:v>121</x:v>
      </x:c>
      <x:c r="E21" s="34" t="n">
        <x:v>210</x:v>
      </x:c>
      <x:c r="F21" s="34" t="n">
        <x:v>4</x:v>
      </x:c>
      <x:c r="G21" s="34" t="n">
        <x:v>6</x:v>
      </x:c>
      <x:c r="H21" s="34" t="str">
        <x:v>Sosial &amp; Emosi</x:v>
      </x:c>
      <x:c r="I21" s="34" t="str">
        <x:v>Berpikir &amp; Eksplorasi</x:v>
      </x:c>
      <x:c r="J21" s="34" t="str">
        <x:v>sosial</x:v>
      </x:c>
      <x:c r="K21" s="34" t="n">
        <x:v>4</x:v>
      </x:c>
      <x:c r="L21" s="34" t="str">
        <x:v>Cermin bayi tidak pecah</x:v>
      </x:c>
      <x:c r="M21" s="34" t="str">
        <x:v>Memberi kesempatan memperhatikan wajah, ekspresi, dan gerakan bersama caregiver.</x:v>
      </x:c>
      <x:c r="N21" s="34" t="str">
        <x:v>CDC 6 bulan mencantumkan ketertarikan melihat diri di cermin; aplikasi tidak menganggap ini pengenalan diri.</x:v>
      </x:c>
      <x:c r="O21" s="34" t="str">
        <x:v>1) Dudukkan/gendong bayi dengan aman di depan cermin. 2) Senyum dan sebut nama caregiver/Si Kecil. 3) Biarkan bayi melihat tanpa diuji.</x:v>
      </x:c>
      <x:c r="P21" s="34" t="str">
        <x:v>Menatap refleksi; tersenyum; menyentuh cermin; melihat caregiver.</x:v>
      </x:c>
      <x:c r="Q21" s="34" t="str">
        <x:v>30–60 detik.</x:v>
      </x:c>
      <x:c r="R21" s="34" t="str">
        <x:v>Gerakkan tangan caregiver di cermin.</x:v>
      </x:c>
      <x:c r="S21" s="34" t="str">
        <x:v>Cermin harus khusus bayi/tidak pecah dan stabil; jangan ada tepi tajam.</x:v>
      </x:c>
      <x:c r="T21" s="34" t="str">
        <x:v>Hentikan bila bayi lelah atau cermin tidak aman.</x:v>
      </x:c>
      <x:c r="U21" s="34" t="str">
        <x:v>Prematur: sesuai toleransi.</x:v>
      </x:c>
      <x:c r="V21" s="34" t="str">
        <x:v>SRC_CDC_6M_2026; SRC_CDC_4M_2026</x:v>
      </x:c>
      <x:c r="W21" s="34" t="str">
        <x:v>CDC 6 bulan: likes to look at self in a mirror; digunakan sebagai aktivitas sosial/visual.</x:v>
      </x:c>
      <x:c r="X21" s="34" t="str">
        <x:v>source_checked</x:v>
      </x:c>
      <x:c r="Y21" s="34" t="str"/>
      <x:c r="Z21" s="34" t="str"/>
      <x:c r="AA21" s="34" t="str">
        <x:v>v0.2</x:v>
      </x:c>
    </x:row>
    <x:row r="22">
      <x:c r="A22" s="34" t="str">
        <x:v>ACT053</x:v>
      </x:c>
      <x:c r="B22" s="34" t="str">
        <x:v>Senyum–Jeda–Balas</x:v>
      </x:c>
      <x:c r="C22" s="34" t="str">
        <x:v>4–6 bulan</x:v>
      </x:c>
      <x:c r="D22" s="34" t="n">
        <x:v>121</x:v>
      </x:c>
      <x:c r="E22" s="34" t="n">
        <x:v>210</x:v>
      </x:c>
      <x:c r="F22" s="34" t="n">
        <x:v>4</x:v>
      </x:c>
      <x:c r="G22" s="34" t="n">
        <x:v>6</x:v>
      </x:c>
      <x:c r="H22" s="34" t="str">
        <x:v>Sosial &amp; Emosi</x:v>
      </x:c>
      <x:c r="I22" s="34" t="str">
        <x:v>Bahasa &amp; Komunikasi</x:v>
      </x:c>
      <x:c r="J22" s="34" t="str">
        <x:v>responsif</x:v>
      </x:c>
      <x:c r="K22" s="34" t="n">
        <x:v>4</x:v>
      </x:c>
      <x:c r="L22" s="34" t="str">
        <x:v>Tidak perlu alat</x:v>
      </x:c>
      <x:c r="M22" s="34" t="str">
        <x:v>Memberi pengalaman bahwa ekspresi dan suara Si Kecil mendapatkan respons dari caregiver.</x:v>
      </x:c>
      <x:c r="N22" s="34" t="str">
        <x:v>Interaksi responsif membantu caregiver mengikuti cue bayi daripada terus memberi stimulasi satu arah.</x:v>
      </x:c>
      <x:c r="O22" s="34" t="str">
        <x:v>1) Senyum atau buat ekspresi hangat. 2) Tunggu. 3) Bila bayi tersenyum/bersuara, balas dengan ekspresi serupa.</x:v>
      </x:c>
      <x:c r="P22" s="34" t="str">
        <x:v>Senyum spontan; terkekeh; mencari perhatian; suara.</x:v>
      </x:c>
      <x:c r="Q22" s="34" t="str">
        <x:v>Satu putaran singkat.</x:v>
      </x:c>
      <x:c r="R22" s="34" t="str">
        <x:v>Tambahkan satu suara pendek.</x:v>
      </x:c>
      <x:c r="S22" s="34" t="str">
        <x:v>Jangan memaksa kontak mata atau tertawa.</x:v>
      </x:c>
      <x:c r="T22" s="34" t="str">
        <x:v>Hentikan bila memalingkan wajah/rewel.</x:v>
      </x:c>
      <x:c r="U22" s="34" t="str">
        <x:v>Prematur: ikuti cue.</x:v>
      </x:c>
      <x:c r="V22" s="34" t="str">
        <x:v>SRC_CDC_4M_2026; SRC_CDC_6M_2026; SRC_WHO_ECD_2020</x:v>
      </x:c>
      <x:c r="W22" s="34" t="str">
        <x:v>CDC 4 bulan mencakup smiling for attention; WHO responsive caregiving mendukung contingent response.</x:v>
      </x:c>
      <x:c r="X22" s="34" t="str">
        <x:v>source_checked</x:v>
      </x:c>
      <x:c r="Y22" s="34" t="str"/>
      <x:c r="Z22" s="34" t="str"/>
      <x:c r="AA22" s="34" t="str">
        <x:v>v0.2</x:v>
      </x:c>
    </x:row>
    <x:row r="23">
      <x:c r="A23" s="34" t="str">
        <x:v>ACT054</x:v>
      </x:c>
      <x:c r="B23" s="34" t="str">
        <x:v>Kenalan dengan Wajah Familiar</x:v>
      </x:c>
      <x:c r="C23" s="34" t="str">
        <x:v>5–6 bulan</x:v>
      </x:c>
      <x:c r="D23" s="34" t="n">
        <x:v>151</x:v>
      </x:c>
      <x:c r="E23" s="34" t="n">
        <x:v>210</x:v>
      </x:c>
      <x:c r="F23" s="34" t="n">
        <x:v>5</x:v>
      </x:c>
      <x:c r="G23" s="34" t="n">
        <x:v>6</x:v>
      </x:c>
      <x:c r="H23" s="34" t="str">
        <x:v>Sosial &amp; Emosi</x:v>
      </x:c>
      <x:c r="I23" s="34" t="str">
        <x:v>Bahasa &amp; Komunikasi</x:v>
      </x:c>
      <x:c r="J23" s="34" t="str">
        <x:v>sosial</x:v>
      </x:c>
      <x:c r="K23" s="34" t="n">
        <x:v>5</x:v>
      </x:c>
      <x:c r="L23" s="34" t="str">
        <x:v>Caregiver familiar atau foto keluarga besar sederhana</x:v>
      </x:c>
      <x:c r="M23" s="34" t="str">
        <x:v>Memberi kesempatan berinteraksi dengan orang familiar dan menghubungkan wajah dengan suara/nama.</x:v>
      </x:c>
      <x:c r="N23" s="34" t="str">
        <x:v>CDC 6 bulan mencantumkan knows familiar people; aktivitas dibuat sebagai interaksi, bukan tes pengenalan.</x:v>
      </x:c>
      <x:c r="O23" s="34" t="str">
        <x:v>1) Ajak satu caregiver familiar berinteraksi saat bayi tenang. 2) Sebut nama orang tersebut. 3) Biarkan bayi mengamati dan merespons.</x:v>
      </x:c>
      <x:c r="P23" s="34" t="str">
        <x:v>Menatap; senyum; suara; perubahan ekspresi saat orang familiar mendekat.</x:v>
      </x:c>
      <x:c r="Q23" s="34" t="str">
        <x:v>Gunakan satu caregiver saja.</x:v>
      </x:c>
      <x:c r="R23" s="34" t="str">
        <x:v>Tunjukkan foto orang yang sama lalu bertemu langsung di waktu lain.</x:v>
      </x:c>
      <x:c r="S23" s="34" t="str">
        <x:v>Hindari banyak orang/suara sekaligus; jangan memaksa bayi digendong orang lain.</x:v>
      </x:c>
      <x:c r="T23" s="34" t="str">
        <x:v>Hentikan bila bayi distress.</x:v>
      </x:c>
      <x:c r="U23" s="34" t="str">
        <x:v>Prematur: minimalkan stimulasi sosial berlebihan.</x:v>
      </x:c>
      <x:c r="V23" s="34" t="str">
        <x:v>SRC_CDC_6M_2026; SRC_WHO_ECD_2020</x:v>
      </x:c>
      <x:c r="W23" s="34" t="str">
        <x:v>CDC 6 bulan: knows familiar people; WHO: responsive interaction.</x:v>
      </x:c>
      <x:c r="X23" s="34" t="str">
        <x:v>source_checked</x:v>
      </x:c>
      <x:c r="Y23" s="34" t="str"/>
      <x:c r="Z23" s="34" t="str"/>
      <x:c r="AA23" s="34" t="str">
        <x:v>v0.2</x:v>
      </x:c>
    </x:row>
    <x:row r="24">
      <x:c r="A24" s="34" t="str">
        <x:v>ACT055</x:v>
      </x:c>
      <x:c r="B24" s="34" t="str">
        <x:v>Bergantian Ekspresi Wajah</x:v>
      </x:c>
      <x:c r="C24" s="34" t="str">
        <x:v>4–6 bulan</x:v>
      </x:c>
      <x:c r="D24" s="34" t="n">
        <x:v>121</x:v>
      </x:c>
      <x:c r="E24" s="34" t="n">
        <x:v>210</x:v>
      </x:c>
      <x:c r="F24" s="34" t="n">
        <x:v>4</x:v>
      </x:c>
      <x:c r="G24" s="34" t="n">
        <x:v>6</x:v>
      </x:c>
      <x:c r="H24" s="34" t="str">
        <x:v>Sosial &amp; Emosi</x:v>
      </x:c>
      <x:c r="I24" s="34" t="str">
        <x:v>Bahasa &amp; Komunikasi</x:v>
      </x:c>
      <x:c r="J24" s="34" t="str">
        <x:v>sosial</x:v>
      </x:c>
      <x:c r="K24" s="34" t="n">
        <x:v>4</x:v>
      </x:c>
      <x:c r="L24" s="34" t="str">
        <x:v>Tidak perlu alat</x:v>
      </x:c>
      <x:c r="M24" s="34" t="str">
        <x:v>Memberi kesempatan memperhatikan ekspresi dan merasakan pola interaksi bergantian.</x:v>
      </x:c>
      <x:c r="N24" s="34" t="str">
        <x:v>Caregiver meniru atau merespons ekspresi bayi secara sederhana.</x:v>
      </x:c>
      <x:c r="O24" s="34" t="str">
        <x:v>1) Amati ekspresi bayi. 2) Tiru secara lembut. 3) Tambahkan senyum/alis terangkat. 4) Jeda.</x:v>
      </x:c>
      <x:c r="P24" s="34" t="str">
        <x:v>Menatap; tersenyum; mengubah ekspresi; membuat suara.</x:v>
      </x:c>
      <x:c r="Q24" s="34" t="str">
        <x:v>Tiru satu ekspresi saja.</x:v>
      </x:c>
      <x:c r="R24" s="34" t="str">
        <x:v>Tambahkan suara sederhana.</x:v>
      </x:c>
      <x:c r="S24" s="34" t="str">
        <x:v>Hindari ekspresi ekstrem/mengejutkan.</x:v>
      </x:c>
      <x:c r="T24" s="34" t="str">
        <x:v>Hentikan bila bayi tampak takut atau overstimulated.</x:v>
      </x:c>
      <x:c r="U24" s="34" t="str">
        <x:v>Prematur: durasi singkat.</x:v>
      </x:c>
      <x:c r="V24" s="34" t="str">
        <x:v>SRC_UNICEF_CCD; SRC_CDC_4M_2026</x:v>
      </x:c>
      <x:c r="W24" s="34" t="str">
        <x:v>CCD mendorong copying gestures/sounds dan responding to child interest.</x:v>
      </x:c>
      <x:c r="X24" s="34" t="str">
        <x:v>source_checked</x:v>
      </x:c>
      <x:c r="Y24" s="34" t="str"/>
      <x:c r="Z24" s="34" t="str"/>
      <x:c r="AA24" s="34" t="str">
        <x:v>v0.2</x:v>
      </x:c>
    </x:row>
    <x:row r="25">
      <x:c r="A25" s="34" t="str">
        <x:v>ACT056</x:v>
      </x:c>
      <x:c r="B25" s="34" t="str">
        <x:v>Waktu Bermain Bergantian dengan Ayah/Bunda</x:v>
      </x:c>
      <x:c r="C25" s="34" t="str">
        <x:v>4–6 bulan</x:v>
      </x:c>
      <x:c r="D25" s="34" t="n">
        <x:v>121</x:v>
      </x:c>
      <x:c r="E25" s="34" t="n">
        <x:v>210</x:v>
      </x:c>
      <x:c r="F25" s="34" t="n">
        <x:v>4</x:v>
      </x:c>
      <x:c r="G25" s="34" t="n">
        <x:v>6</x:v>
      </x:c>
      <x:c r="H25" s="34" t="str">
        <x:v>Sosial &amp; Emosi</x:v>
      </x:c>
      <x:c r="I25" s="34" t="str">
        <x:v>Bahasa &amp; Komunikasi</x:v>
      </x:c>
      <x:c r="J25" s="34" t="str">
        <x:v>sosial</x:v>
      </x:c>
      <x:c r="K25" s="34" t="n">
        <x:v>5</x:v>
      </x:c>
      <x:c r="L25" s="34" t="str">
        <x:v>Tidak perlu alat</x:v>
      </x:c>
      <x:c r="M25" s="34" t="str">
        <x:v>Memberi kesempatan mengalami interaksi responsif dengan lebih dari satu caregiver familiar tanpa terlalu banyak stimulasi sekaligus.</x:v>
      </x:c>
      <x:c r="N25" s="34" t="str">
        <x:v>Keterlibatan caregiver lain memperbanyak peluang komunikasi dan hubungan sosial.</x:v>
      </x:c>
      <x:c r="O25" s="34" t="str">
        <x:v>1) Satu caregiver bermain/bicara selama beberapa menit. 2) Setelah jeda, caregiver lain berganti. 3) Ikuti minat bayi.</x:v>
      </x:c>
      <x:c r="P25" s="34" t="str">
        <x:v>Perhatian pada masing-masing caregiver; suara; senyum; kenyamanan.</x:v>
      </x:c>
      <x:c r="Q25" s="34" t="str">
        <x:v>Satu caregiver per sesi.</x:v>
      </x:c>
      <x:c r="R25" s="34" t="str">
        <x:v>Ganti caregiver di sesi berbeda.</x:v>
      </x:c>
      <x:c r="S25" s="34" t="str">
        <x:v>Jangan membuat bayi dikelilingi banyak orang sekaligus; volume lembut.</x:v>
      </x:c>
      <x:c r="T25" s="34" t="str">
        <x:v>Hentikan bila bayi overstimulated.</x:v>
      </x:c>
      <x:c r="U25" s="34" t="str">
        <x:v>Prematur: satu stimulus sosial pada satu waktu.</x:v>
      </x:c>
      <x:c r="V25" s="34" t="str">
        <x:v>SRC_UNICEF_CCD; SRC_WHO_ECD_2020</x:v>
      </x:c>
      <x:c r="W25" s="34" t="str">
        <x:v>Responsive caregiving melibatkan caregiver yang memperhatikan dan merespons cue anak.</x:v>
      </x:c>
      <x:c r="X25" s="34" t="str">
        <x:v>source_checked</x:v>
      </x:c>
      <x:c r="Y25" s="34" t="str"/>
      <x:c r="Z25" s="34" t="str"/>
      <x:c r="AA25" s="34" t="str">
        <x:v>v0.2</x:v>
      </x:c>
    </x:row>
    <x:row r="26">
      <x:c r="A26" s="34" t="str">
        <x:v>ACT057</x:v>
      </x:c>
      <x:c r="B26" s="34" t="str">
        <x:v>Eksplorasi Benda Aman dengan Mulut dan Tangan</x:v>
      </x:c>
      <x:c r="C26" s="34" t="str">
        <x:v>4–6 bulan</x:v>
      </x:c>
      <x:c r="D26" s="34" t="n">
        <x:v>121</x:v>
      </x:c>
      <x:c r="E26" s="34" t="n">
        <x:v>210</x:v>
      </x:c>
      <x:c r="F26" s="34" t="n">
        <x:v>4</x:v>
      </x:c>
      <x:c r="G26" s="34" t="n">
        <x:v>6</x:v>
      </x:c>
      <x:c r="H26" s="34" t="str">
        <x:v>Berpikir &amp; Eksplorasi</x:v>
      </x:c>
      <x:c r="I26" s="34" t="str">
        <x:v>Tangan &amp; Koordinasi</x:v>
      </x:c>
      <x:c r="J26" s="34" t="str">
        <x:v>eksplorasi</x:v>
      </x:c>
      <x:c r="K26" s="34" t="n">
        <x:v>5</x:v>
      </x:c>
      <x:c r="L26" s="34" t="str">
        <x:v>Teether/mainan besar yang aman dan mudah dibersihkan</x:v>
      </x:c>
      <x:c r="M26" s="34" t="str">
        <x:v>Memberi kesempatan mengeksplorasi bentuk, tekstur, dan sensasi melalui tangan dan mulut.</x:v>
      </x:c>
      <x:c r="N26" s="34" t="str">
        <x:v>Mouthing benda yang aman merupakan cara eksplorasi normal pada fase ini; safety objek menjadi prioritas utama.</x:v>
      </x:c>
      <x:c r="O26" s="34" t="str">
        <x:v>1) Berikan satu benda aman. 2) Biarkan bayi melihat, memegang, dan membawa ke mulut bila ingin. 3) Ceritakan singkat tekstur/bentuknya.</x:v>
      </x:c>
      <x:c r="P26" s="34" t="str">
        <x:v>Melihat; menggenggam; memutar; membawa ke mulut.</x:v>
      </x:c>
      <x:c r="Q26" s="34" t="str">
        <x:v>Gunakan satu teether sederhana.</x:v>
      </x:c>
      <x:c r="R26" s="34" t="str">
        <x:v>Ganti dengan benda aman tekstur berbeda di sesi lain.</x:v>
      </x:c>
      <x:c r="S26" s="34" t="str">
        <x:v>Harus terlalu besar untuk tertelan, utuh, tidak tajam/panas, bebas bagian kecil, tali panjang, baterai terbuka, atau bahan mudah rontok.</x:v>
      </x:c>
      <x:c r="T26" s="34" t="str">
        <x:v>Hentikan bila benda rusak, bayi batuk/tersedak, atau tampak tidak nyaman.</x:v>
      </x:c>
      <x:c r="U26" s="34" t="str">
        <x:v>Prematur: sesuaikan dengan kesiapan oral/saran klinis jika ada masalah feeding.</x:v>
      </x:c>
      <x:c r="V26" s="34" t="str">
        <x:v>SRC_CDC_4M_2026; SRC_CDC_6M_2026; SRC_UNICEF_CCD_CARDS</x:v>
      </x:c>
      <x:c r="W26" s="34" t="str">
        <x:v>CDC 4 bulan menganjurkan safe mouthing; CDC 6 bulan memasukkan puts things in mouth to explore.</x:v>
      </x:c>
      <x:c r="X26" s="34" t="str">
        <x:v>source_checked</x:v>
      </x:c>
      <x:c r="Y26" s="34" t="str"/>
      <x:c r="Z26" s="34" t="str"/>
      <x:c r="AA26" s="34" t="str">
        <x:v>v0.2</x:v>
      </x:c>
    </x:row>
    <x:row r="27">
      <x:c r="A27" s="34" t="str">
        <x:v>ACT058</x:v>
      </x:c>
      <x:c r="B27" s="34" t="str">
        <x:v>Goyang–Dengar Rattle</x:v>
      </x:c>
      <x:c r="C27" s="34" t="str">
        <x:v>4–6 bulan</x:v>
      </x:c>
      <x:c r="D27" s="34" t="n">
        <x:v>121</x:v>
      </x:c>
      <x:c r="E27" s="34" t="n">
        <x:v>210</x:v>
      </x:c>
      <x:c r="F27" s="34" t="n">
        <x:v>4</x:v>
      </x:c>
      <x:c r="G27" s="34" t="n">
        <x:v>6</x:v>
      </x:c>
      <x:c r="H27" s="34" t="str">
        <x:v>Berpikir &amp; Eksplorasi</x:v>
      </x:c>
      <x:c r="I27" s="34" t="str">
        <x:v>Tangan &amp; Koordinasi</x:v>
      </x:c>
      <x:c r="J27" s="34" t="str">
        <x:v>sebab-akibat</x:v>
      </x:c>
      <x:c r="K27" s="34" t="n">
        <x:v>4</x:v>
      </x:c>
      <x:c r="L27" s="34" t="str">
        <x:v>Rattle besar, utuh, suara lembut</x:v>
      </x:c>
      <x:c r="M27" s="34" t="str">
        <x:v>Memberi kesempatan menghubungkan gerakan benda dengan bunyi yang muncul.</x:v>
      </x:c>
      <x:c r="N27" s="34" t="str">
        <x:v>Pengalaman sebab-akibat sederhana dapat muncul saat bayi melihat, mendengar, dan menggerakkan benda.</x:v>
      </x:c>
      <x:c r="O27" s="34" t="str">
        <x:v>1) Tunjukkan rattle dan bunyikan lembut sekali. 2) Berikan ke tangan bila bayi mau. 3) Biarkan bayi menggerakkan sendiri.</x:v>
      </x:c>
      <x:c r="P27" s="34" t="str">
        <x:v>Melihat rattle; menggenggam; menggerakkan; memperhatikan bunyi.</x:v>
      </x:c>
      <x:c r="Q27" s="34" t="str">
        <x:v>Caregiver pegang dan bayi hanya melihat/mendengar.</x:v>
      </x:c>
      <x:c r="R27" s="34" t="str">
        <x:v>Gunakan rattle berbeda di sesi lain.</x:v>
      </x:c>
      <x:c r="S27" s="34" t="str">
        <x:v>Rattle harus utuh dan terlalu besar untuk tertelan; jangan dekat telinga; hentikan jika retak/bocor.</x:v>
      </x:c>
      <x:c r="T27" s="34" t="str">
        <x:v>Hentikan bila bayi terkejut berlebihan atau alat rusak.</x:v>
      </x:c>
      <x:c r="U27" s="34" t="str">
        <x:v>Prematur: suara lembut.</x:v>
      </x:c>
      <x:c r="V27" s="34" t="str">
        <x:v>SRC_CDC_4M_2026; SRC_UNICEF_CCD_CARDS</x:v>
      </x:c>
      <x:c r="W27" s="34" t="str">
        <x:v>CDC/CCD mendorong reaching, safe exploration, and response to sound.</x:v>
      </x:c>
      <x:c r="X27" s="34" t="str">
        <x:v>source_checked</x:v>
      </x:c>
      <x:c r="Y27" s="34" t="str"/>
      <x:c r="Z27" s="34" t="str"/>
      <x:c r="AA27" s="34" t="str">
        <x:v>v0.2</x:v>
      </x:c>
    </x:row>
    <x:row r="28">
      <x:c r="A28" s="34" t="str">
        <x:v>ACT059</x:v>
      </x:c>
      <x:c r="B28" s="34" t="str">
        <x:v>Cari Mainan yang Terlihat Sebagian</x:v>
      </x:c>
      <x:c r="C28" s="34" t="str">
        <x:v>5–6 bulan</x:v>
      </x:c>
      <x:c r="D28" s="34" t="n">
        <x:v>151</x:v>
      </x:c>
      <x:c r="E28" s="34" t="n">
        <x:v>210</x:v>
      </x:c>
      <x:c r="F28" s="34" t="n">
        <x:v>5</x:v>
      </x:c>
      <x:c r="G28" s="34" t="n">
        <x:v>6</x:v>
      </x:c>
      <x:c r="H28" s="34" t="str">
        <x:v>Berpikir &amp; Eksplorasi</x:v>
      </x:c>
      <x:c r="I28" s="34" t="str">
        <x:v>Tangan &amp; Koordinasi</x:v>
      </x:c>
      <x:c r="J28" s="34" t="str">
        <x:v>eksplorasi</x:v>
      </x:c>
      <x:c r="K28" s="34" t="n">
        <x:v>4</x:v>
      </x:c>
      <x:c r="L28" s="34" t="str">
        <x:v>Mainan favorit besar; kain kecil yang selalu dipegang caregiver</x:v>
      </x:c>
      <x:c r="M28" s="34" t="str">
        <x:v>Memberi kesempatan mempertahankan perhatian pada benda ketika sebagian pandangannya tertutup.</x:v>
      </x:c>
      <x:c r="N28" s="34" t="str">
        <x:v>Aktivitas sangat sederhana ini bertujuan eksplorasi dan perhatian, bukan menguji object permanence.</x:v>
      </x:c>
      <x:c r="O28" s="34" t="str">
        <x:v>1) Tunjukkan mainan. 2) Tutupi sebagian kecil mainan dengan kain sambil sebagian tetap terlihat. 3) Tunggu bayi menatap/meraih.</x:v>
      </x:c>
      <x:c r="P28" s="34" t="str">
        <x:v>Menatap bagian yang terlihat; meraih mainan/kain; tetap mencari dengan mata.</x:v>
      </x:c>
      <x:c r="Q28" s="34" t="str">
        <x:v>Tutup sangat sedikit.</x:v>
      </x:c>
      <x:c r="R28" s="34" t="str">
        <x:v>Tutup sedikit lebih banyak pada sesi lain, tetap sisakan bagian terlihat.</x:v>
      </x:c>
      <x:c r="S28" s="34" t="str">
        <x:v>Kain selalu dipegang caregiver; jangan menutup wajah bayi; mainan besar dan aman.</x:v>
      </x:c>
      <x:c r="T28" s="34" t="str">
        <x:v>Hentikan bila kain mendekati wajah atau bayi frustrasi.</x:v>
      </x:c>
      <x:c r="U28" s="34" t="str">
        <x:v>Prematur: sesuaikan corrected age.</x:v>
      </x:c>
      <x:c r="V28" s="34" t="str">
        <x:v>SRC_CDC_6M_2026; SRC_UNICEF_CCD</x:v>
      </x:c>
      <x:c r="W28" s="34" t="str">
        <x:v>Turunan konservatif dari exploration/reaching; tidak diposisikan sebagai tes object permanence.</x:v>
      </x:c>
      <x:c r="X28" s="34" t="str">
        <x:v>source_checked</x:v>
      </x:c>
      <x:c r="Y28" s="34" t="str"/>
      <x:c r="Z28" s="34" t="str"/>
      <x:c r="AA28" s="34" t="str">
        <x:v>v0.2</x:v>
      </x:c>
    </x:row>
    <x:row r="29">
      <x:c r="A29" s="34" t="str">
        <x:v>ACT060</x:v>
      </x:c>
      <x:c r="B29" s="34" t="str">
        <x:v>Mainan Sedikit di Luar Jangkauan</x:v>
      </x:c>
      <x:c r="C29" s="34" t="str">
        <x:v>4–6 bulan</x:v>
      </x:c>
      <x:c r="D29" s="34" t="n">
        <x:v>121</x:v>
      </x:c>
      <x:c r="E29" s="34" t="n">
        <x:v>210</x:v>
      </x:c>
      <x:c r="F29" s="34" t="n">
        <x:v>4</x:v>
      </x:c>
      <x:c r="G29" s="34" t="n">
        <x:v>6</x:v>
      </x:c>
      <x:c r="H29" s="34" t="str">
        <x:v>Berpikir &amp; Eksplorasi</x:v>
      </x:c>
      <x:c r="I29" s="34" t="str">
        <x:v>Gerak Tubuh</x:v>
      </x:c>
      <x:c r="J29" s="34" t="str">
        <x:v>eksplorasi</x:v>
      </x:c>
      <x:c r="K29" s="34" t="n">
        <x:v>4</x:v>
      </x:c>
      <x:c r="L29" s="34" t="str">
        <x:v>Mainan besar dan aman</x:v>
      </x:c>
      <x:c r="M29" s="34" t="str">
        <x:v>Memberi kesempatan merencanakan gerak sederhana untuk mendekati benda yang menarik minat.</x:v>
      </x:c>
      <x:c r="N29" s="34" t="str">
        <x:v>CDC mendorong kesempatan aman untuk reach for toys dan floor exploration.</x:v>
      </x:c>
      <x:c r="O29" s="34" t="str">
        <x:v>1) Letakkan mainan sedikit di luar jangkauan mudah tetapi masih realistis. 2) Tunggu bayi mencoba. 3) Dekatkan jika frustrasi.</x:v>
      </x:c>
      <x:c r="P29" s="34" t="str">
        <x:v>Memanjangkan tangan; memutar badan; menggeser berat; mencoba meraih.</x:v>
      </x:c>
      <x:c r="Q29" s="34" t="str">
        <x:v>Letakkan hampir dalam jangkauan.</x:v>
      </x:c>
      <x:c r="R29" s="34" t="str">
        <x:v>Pindahkan sedikit ke sisi lain.</x:v>
      </x:c>
      <x:c r="S29" s="34" t="str">
        <x:v>Jangan membuat bayi harus bergerak ke posisi berbahaya; selalu di lantai aman.</x:v>
      </x:c>
      <x:c r="T29" s="34" t="str">
        <x:v>Hentikan bila bayi frustrasi berlebihan atau lelah.</x:v>
      </x:c>
      <x:c r="U29" s="34" t="str">
        <x:v>Prematur: jarak disesuaikan kemampuan.</x:v>
      </x:c>
      <x:c r="V29" s="34" t="str">
        <x:v>SRC_CDC_4M_2026; SRC_CDC_6M_2026</x:v>
      </x:c>
      <x:c r="W29" s="34" t="str">
        <x:v>CDC: safe opportunities for reaching and floor play.</x:v>
      </x:c>
      <x:c r="X29" s="34" t="str">
        <x:v>source_checked</x:v>
      </x:c>
      <x:c r="Y29" s="34" t="str"/>
      <x:c r="Z29" s="34" t="str"/>
      <x:c r="AA29" s="34" t="str">
        <x:v>v0.2</x:v>
      </x:c>
    </x:row>
    <x:row r="30">
      <x:c r="A30" s="34" t="str">
        <x:v>ACT061</x:v>
      </x:c>
      <x:c r="B30" s="34" t="str">
        <x:v>Bandingkan Dua Benda Aman</x:v>
      </x:c>
      <x:c r="C30" s="34" t="str">
        <x:v>5–6 bulan</x:v>
      </x:c>
      <x:c r="D30" s="34" t="n">
        <x:v>151</x:v>
      </x:c>
      <x:c r="E30" s="34" t="n">
        <x:v>210</x:v>
      </x:c>
      <x:c r="F30" s="34" t="n">
        <x:v>5</x:v>
      </x:c>
      <x:c r="G30" s="34" t="n">
        <x:v>6</x:v>
      </x:c>
      <x:c r="H30" s="34" t="str">
        <x:v>Berpikir &amp; Eksplorasi</x:v>
      </x:c>
      <x:c r="I30" s="34" t="str">
        <x:v>Tangan &amp; Koordinasi</x:v>
      </x:c>
      <x:c r="J30" s="34" t="str">
        <x:v>eksplorasi</x:v>
      </x:c>
      <x:c r="K30" s="34" t="n">
        <x:v>5</x:v>
      </x:c>
      <x:c r="L30" s="34" t="str">
        <x:v>Dua benda besar berbeda tekstur/bentuk</x:v>
      </x:c>
      <x:c r="M30" s="34" t="str">
        <x:v>Memberi kesempatan memperhatikan perbedaan sederhana dalam tekstur, bentuk, suara, atau berat melalui eksplorasi.</x:v>
      </x:c>
      <x:c r="N30" s="34" t="str">
        <x:v>Tidak ada jawaban benar; bayi hanya diberi kesempatan membandingkan dua pengalaman sensorik.</x:v>
      </x:c>
      <x:c r="O30" s="34" t="str">
        <x:v>1) Tawarkan benda A. 2) Setelah dieksplorasi, tawarkan benda B. 3) Biarkan bayi memilih, melihat, menyentuh, atau membawa ke mulut jika aman.</x:v>
      </x:c>
      <x:c r="P30" s="34" t="str">
        <x:v>Memindahkan perhatian; menggenggam; membawa ke mulut; memilih satu benda.</x:v>
      </x:c>
      <x:c r="Q30" s="34" t="str">
        <x:v>Gunakan satu benda.</x:v>
      </x:c>
      <x:c r="R30" s="34" t="str">
        <x:v>Gunakan dua benda dengan satu perbedaan jelas.</x:v>
      </x:c>
      <x:c r="S30" s="34" t="str">
        <x:v>Kedua benda harus aman untuk mouthing, utuh, besar, bersih, tanpa bagian kecil.</x:v>
      </x:c>
      <x:c r="T30" s="34" t="str">
        <x:v>Hentikan bila benda rusak atau bayi lelah.</x:v>
      </x:c>
      <x:c r="U30" s="34" t="str">
        <x:v>Prematur: satu benda per waktu bila mudah overstimulated.</x:v>
      </x:c>
      <x:c r="V30" s="34" t="str">
        <x:v>SRC_CDC_4M_2026; SRC_CDC_6M_2026; SRC_UNICEF_CCD_CARDS</x:v>
      </x:c>
      <x:c r="W30" s="34" t="str">
        <x:v>Selaras dengan safe seeing/hearing/feeling/moving dan exploration.</x:v>
      </x:c>
      <x:c r="X30" s="34" t="str">
        <x:v>source_checked</x:v>
      </x:c>
      <x:c r="Y30" s="34" t="str"/>
      <x:c r="Z30" s="34" t="str"/>
      <x:c r="AA30" s="34" t="str">
        <x:v>v0.2</x:v>
      </x:c>
    </x:row>
    <x:row r="31">
      <x:c r="A31" s="34" t="str">
        <x:v>ACT062</x:v>
      </x:c>
      <x:c r="B31" s="34" t="str">
        <x:v>Jatuhkan Mainan Lunak dan Lihat</x:v>
      </x:c>
      <x:c r="C31" s="34" t="str">
        <x:v>5–6 bulan</x:v>
      </x:c>
      <x:c r="D31" s="34" t="n">
        <x:v>151</x:v>
      </x:c>
      <x:c r="E31" s="34" t="n">
        <x:v>210</x:v>
      </x:c>
      <x:c r="F31" s="34" t="n">
        <x:v>5</x:v>
      </x:c>
      <x:c r="G31" s="34" t="n">
        <x:v>6</x:v>
      </x:c>
      <x:c r="H31" s="34" t="str">
        <x:v>Berpikir &amp; Eksplorasi</x:v>
      </x:c>
      <x:c r="I31" s="34" t="str">
        <x:v>Tangan &amp; Koordinasi</x:v>
      </x:c>
      <x:c r="J31" s="34" t="str">
        <x:v>sebab-akibat</x:v>
      </x:c>
      <x:c r="K31" s="34" t="n">
        <x:v>4</x:v>
      </x:c>
      <x:c r="L31" s="34" t="str">
        <x:v>Mainan lunak besar; matras</x:v>
      </x:c>
      <x:c r="M31" s="34" t="str">
        <x:v>Memberi pengalaman sederhana bahwa tindakan pada benda dapat membuat benda berpindah tempat atau menghasilkan perubahan.</x:v>
      </x:c>
      <x:c r="N31" s="34" t="str">
        <x:v>Aktivitas bersifat eksplorasi sebab-akibat awal dan tidak menuntut bayi sengaja menjatuhkan.</x:v>
      </x:c>
      <x:c r="O31" s="34" t="str">
        <x:v>1) Berikan mainan lunak. 2) Jika bayi melepas/menjatuhkan, tunjukkan ke mana benda jatuh. 3) Kembalikan satu kali bila bayi tertarik.</x:v>
      </x:c>
      <x:c r="P31" s="34" t="str">
        <x:v>Melepas benda; melihat arah jatuh; mengulang gerakan; meraih kembali.</x:v>
      </x:c>
      <x:c r="Q31" s="34" t="str">
        <x:v>Caregiver menjatuhkan satu kali dan bayi melihat.</x:v>
      </x:c>
      <x:c r="R31" s="34" t="str">
        <x:v>Bayi memegang lalu melepaskan sendiri.</x:v>
      </x:c>
      <x:c r="S31" s="34" t="str">
        <x:v>Gunakan mainan lunak besar; hanya di lantai/matras, bukan dari kursi/meja.</x:v>
      </x:c>
      <x:c r="T31" s="34" t="str">
        <x:v>Hentikan bila bayi frustrasi atau benda tidak aman.</x:v>
      </x:c>
      <x:c r="U31" s="34" t="str">
        <x:v>Prematur: sesuaikan kemampuan tangan.</x:v>
      </x:c>
      <x:c r="V31" s="34" t="str">
        <x:v>SRC_CDC_6M_2026; SRC_UNICEF_CCD</x:v>
      </x:c>
      <x:c r="W31" s="34" t="str">
        <x:v>Selaras dengan exploration/cause-and-effect sederhana; bukan milestone wajib.</x:v>
      </x:c>
      <x:c r="X31" s="34" t="str">
        <x:v>source_checked</x:v>
      </x:c>
      <x:c r="Y31" s="34" t="str"/>
      <x:c r="Z31" s="34" t="str"/>
      <x:c r="AA31" s="34" t="str">
        <x:v>v0.2</x:v>
      </x:c>
    </x:row>
  </x:sheetData>
  <x:dataValidations count="1">
    <x:dataValidation type="list" sqref="X2:X31">
      <x:formula1>"draft,source_checked,clinical_review,approved"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2972941753c4c8e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6" hidden="0" customWidth="1"/>
    <x:col min="3" max="3" width="22" hidden="0" customWidth="1"/>
    <x:col min="4" max="4" width="14" hidden="0" customWidth="1"/>
    <x:col min="5" max="5" width="14" hidden="0" customWidth="1"/>
    <x:col min="6" max="6" width="25" hidden="0" customWidth="1"/>
    <x:col min="7" max="7" width="68" hidden="0" customWidth="1"/>
    <x:col min="8" max="8" width="48" hidden="0" customWidth="1"/>
    <x:col min="9" max="9" width="66" hidden="0" customWidth="1"/>
    <x:col min="10" max="10" width="18" hidden="0" customWidth="1"/>
  </x:cols>
  <x:sheetData>
    <x:row r="1">
      <x:c r="A1" s="52" t="str">
        <x:v>skill_id</x:v>
      </x:c>
      <x:c r="B1" s="52" t="str">
        <x:v>label</x:v>
      </x:c>
      <x:c r="C1" s="52" t="str">
        <x:v>domain</x:v>
      </x:c>
      <x:c r="D1" s="52" t="str">
        <x:v>min_age_days</x:v>
      </x:c>
      <x:c r="E1" s="52" t="str">
        <x:v>max_age_days</x:v>
      </x:c>
      <x:c r="F1" s="52" t="str">
        <x:v>observation_type</x:v>
      </x:c>
      <x:c r="G1" s="52" t="str">
        <x:v>description</x:v>
      </x:c>
      <x:c r="H1" s="52" t="str">
        <x:v>source_refs</x:v>
      </x:c>
      <x:c r="I1" s="52" t="str">
        <x:v>guardrail_note</x:v>
      </x:c>
      <x:c r="J1" s="52" t="str">
        <x:v>review_status</x:v>
      </x:c>
    </x:row>
    <x:row r="2">
      <x:c r="A2" s="34" t="str">
        <x:v>SK040</x:v>
      </x:c>
      <x:c r="B2" s="34" t="str">
        <x:v>Duduk tanpa dukungan untuk beberapa saat</x:v>
      </x:c>
      <x:c r="C2" s="34" t="str">
        <x:v>Gerak Tubuh</x:v>
      </x:c>
      <x:c r="D2" s="34" t="n">
        <x:v>211</x:v>
      </x:c>
      <x:c r="E2" s="34" t="n">
        <x:v>300</x:v>
      </x:c>
      <x:c r="F2" s="34" t="str">
        <x:v>milestone/observation</x:v>
      </x:c>
      <x:c r="G2" s="34" t="str">
        <x:v>Si Kecil dapat mempertahankan posisi duduk tanpa ditopang caregiver untuk beberapa saat.</x:v>
      </x:c>
      <x:c r="H2" s="34" t="str">
        <x:v>SRC_CDC_9M_2026; SRC_AAP_MOVEMENT_8_12</x:v>
      </x:c>
      <x:c r="I2" s="34" t="str">
        <x:v>Jangan menguji di tempat tinggi; waktu duduk mandiri bervariasi.</x:v>
      </x:c>
      <x:c r="J2" s="34" t="str">
        <x:v>source_checked</x:v>
      </x:c>
    </x:row>
    <x:row r="3">
      <x:c r="A3" s="34" t="str">
        <x:v>SK041</x:v>
      </x:c>
      <x:c r="B3" s="34" t="str">
        <x:v>Berpindah menuju posisi duduk</x:v>
      </x:c>
      <x:c r="C3" s="34" t="str">
        <x:v>Gerak Tubuh</x:v>
      </x:c>
      <x:c r="D3" s="34" t="n">
        <x:v>211</x:v>
      </x:c>
      <x:c r="E3" s="34" t="n">
        <x:v>300</x:v>
      </x:c>
      <x:c r="F3" s="34" t="str">
        <x:v>milestone/observation</x:v>
      </x:c>
      <x:c r="G3" s="34" t="str">
        <x:v>Si Kecil mulai dapat bergerak menuju posisi duduk dari posisi lain.</x:v>
      </x:c>
      <x:c r="H3" s="34" t="str">
        <x:v>SRC_CDC_9M_2026; SRC_AAP_MOVEMENT_8_12</x:v>
      </x:c>
      <x:c r="I3" s="34" t="str">
        <x:v>Jangan menarik lengan untuk mendudukkan sebagai tes.</x:v>
      </x:c>
      <x:c r="J3" s="34" t="str">
        <x:v>source_checked</x:v>
      </x:c>
    </x:row>
    <x:row r="4">
      <x:c r="A4" s="34" t="str">
        <x:v>SK042</x:v>
      </x:c>
      <x:c r="B4" s="34" t="str">
        <x:v>Mulai bergerak di lantai dengan cara sendiri</x:v>
      </x:c>
      <x:c r="C4" s="34" t="str">
        <x:v>Gerak Tubuh</x:v>
      </x:c>
      <x:c r="D4" s="34" t="n">
        <x:v>181</x:v>
      </x:c>
      <x:c r="E4" s="34" t="n">
        <x:v>300</x:v>
      </x:c>
      <x:c r="F4" s="34" t="str">
        <x:v>developmental observation</x:v>
      </x:c>
      <x:c r="G4" s="34" t="str">
        <x:v>Si Kecil berpindah di lantai dengan berguling, merayap, scooting, atau mulai merangkak.</x:v>
      </x:c>
      <x:c r="H4" s="34" t="str">
        <x:v>SRC_AAP_MOVEMENT_8_12; SRC_UNICEF_9M</x:v>
      </x:c>
      <x:c r="I4" s="34" t="str">
        <x:v>Tidak semua bayi merangkak dengan pola yang sama; fokus pada eksplorasi aman.</x:v>
      </x:c>
      <x:c r="J4" s="34" t="str">
        <x:v>source_checked</x:v>
      </x:c>
    </x:row>
    <x:row r="5">
      <x:c r="A5" s="34" t="str">
        <x:v>SK043</x:v>
      </x:c>
      <x:c r="B5" s="34" t="str">
        <x:v>Menopang berat pada tangan dan lutut / posisi merangkak</x:v>
      </x:c>
      <x:c r="C5" s="34" t="str">
        <x:v>Gerak Tubuh</x:v>
      </x:c>
      <x:c r="D5" s="34" t="n">
        <x:v>211</x:v>
      </x:c>
      <x:c r="E5" s="34" t="n">
        <x:v>300</x:v>
      </x:c>
      <x:c r="F5" s="34" t="str">
        <x:v>developmental observation</x:v>
      </x:c>
      <x:c r="G5" s="34" t="str">
        <x:v>Si Kecil mencoba posisi tangan-lutut, rocking, atau posisi persiapan bergerak.</x:v>
      </x:c>
      <x:c r="H5" s="34" t="str">
        <x:v>SRC_AAP_MOVEMENT_8_12</x:v>
      </x:c>
      <x:c r="I5" s="34" t="str">
        <x:v>Bukan milestone wajib pada tanggal tertentu.</x:v>
      </x:c>
      <x:c r="J5" s="34" t="str">
        <x:v>source_checked</x:v>
      </x:c>
    </x:row>
    <x:row r="6">
      <x:c r="A6" s="34" t="str">
        <x:v>SK044</x:v>
      </x:c>
      <x:c r="B6" s="34" t="str">
        <x:v>Menarik tubuh untuk berdiri dengan dukungan kokoh</x:v>
      </x:c>
      <x:c r="C6" s="34" t="str">
        <x:v>Gerak Tubuh</x:v>
      </x:c>
      <x:c r="D6" s="34" t="n">
        <x:v>241</x:v>
      </x:c>
      <x:c r="E6" s="34" t="n">
        <x:v>330</x:v>
      </x:c>
      <x:c r="F6" s="34" t="str">
        <x:v>developmental observation</x:v>
      </x:c>
      <x:c r="G6" s="34" t="str">
        <x:v>Si Kecil menggunakan furnitur kokoh atau tangan caregiver untuk mencoba berdiri.</x:v>
      </x:c>
      <x:c r="H6" s="34" t="str">
        <x:v>SRC_AAP_MOVEMENT_8_12; SRC_UNICEF_9M</x:v>
      </x:c>
      <x:c r="I6" s="34" t="str">
        <x:v>Pastikan furnitur terpasang/berat dan area aman.</x:v>
      </x:c>
      <x:c r="J6" s="34" t="str">
        <x:v>source_checked</x:v>
      </x:c>
    </x:row>
    <x:row r="7">
      <x:c r="A7" s="34" t="str">
        <x:v>SK045</x:v>
      </x:c>
      <x:c r="B7" s="34" t="str">
        <x:v>Memindahkan benda dari satu tangan ke tangan lain</x:v>
      </x:c>
      <x:c r="C7" s="34" t="str">
        <x:v>Tangan &amp; Koordinasi</x:v>
      </x:c>
      <x:c r="D7" s="34" t="n">
        <x:v>181</x:v>
      </x:c>
      <x:c r="E7" s="34" t="n">
        <x:v>300</x:v>
      </x:c>
      <x:c r="F7" s="34" t="str">
        <x:v>milestone/observation</x:v>
      </x:c>
      <x:c r="G7" s="34" t="str">
        <x:v>Si Kecil memindahkan mainan atau benda aman antartangan.</x:v>
      </x:c>
      <x:c r="H7" s="34" t="str">
        <x:v>SRC_CDC_9M_2026; SRC_UNICEF_9M</x:v>
      </x:c>
      <x:c r="I7" s="34" t="str">
        <x:v>Gunakan benda besar aman; bukan tes satu kali.</x:v>
      </x:c>
      <x:c r="J7" s="34" t="str">
        <x:v>source_checked</x:v>
      </x:c>
    </x:row>
    <x:row r="8">
      <x:c r="A8" s="34" t="str">
        <x:v>SK046</x:v>
      </x:c>
      <x:c r="B8" s="34" t="str">
        <x:v>Membenturkan dua benda</x:v>
      </x:c>
      <x:c r="C8" s="34" t="str">
        <x:v>Tangan &amp; Koordinasi</x:v>
      </x:c>
      <x:c r="D8" s="34" t="n">
        <x:v>211</x:v>
      </x:c>
      <x:c r="E8" s="34" t="n">
        <x:v>300</x:v>
      </x:c>
      <x:c r="F8" s="34" t="str">
        <x:v>milestone/observation</x:v>
      </x:c>
      <x:c r="G8" s="34" t="str">
        <x:v>Si Kecil memegang dua benda dan membenturkannya satu sama lain.</x:v>
      </x:c>
      <x:c r="H8" s="34" t="str">
        <x:v>SRC_CDC_9M_2026</x:v>
      </x:c>
      <x:c r="I8" s="34" t="str">
        <x:v>Benda harus ringan, besar, dan tidak pecah.</x:v>
      </x:c>
      <x:c r="J8" s="34" t="str">
        <x:v>source_checked</x:v>
      </x:c>
    </x:row>
    <x:row r="9">
      <x:c r="A9" s="34" t="str">
        <x:v>SK047</x:v>
      </x:c>
      <x:c r="B9" s="34" t="str">
        <x:v>Mengambil benda dengan jari/raking grasp</x:v>
      </x:c>
      <x:c r="C9" s="34" t="str">
        <x:v>Tangan &amp; Koordinasi</x:v>
      </x:c>
      <x:c r="D9" s="34" t="n">
        <x:v>211</x:v>
      </x:c>
      <x:c r="E9" s="34" t="n">
        <x:v>300</x:v>
      </x:c>
      <x:c r="F9" s="34" t="str">
        <x:v>milestone/observation</x:v>
      </x:c>
      <x:c r="G9" s="34" t="str">
        <x:v>Si Kecil menggunakan jari untuk menarik atau mengambil benda kecil yang aman untuk konteks feeding/observasi.</x:v>
      </x:c>
      <x:c r="H9" s="34" t="str">
        <x:v>SRC_CDC_9M_2026</x:v>
      </x:c>
      <x:c r="I9" s="34" t="str">
        <x:v>Jangan gunakan benda kecil berisiko tersedak sebagai mainan; observasi dapat terjadi saat makan finger food sesuai kesiapan dan panduan feeding.</x:v>
      </x:c>
      <x:c r="J9" s="34" t="str">
        <x:v>source_checked</x:v>
      </x:c>
    </x:row>
    <x:row r="10">
      <x:c r="A10" s="34" t="str">
        <x:v>SK048</x:v>
      </x:c>
      <x:c r="B10" s="34" t="str">
        <x:v>Meraih benda dari posisi duduk</x:v>
      </x:c>
      <x:c r="C10" s="34" t="str">
        <x:v>Tangan &amp; Koordinasi</x:v>
      </x:c>
      <x:c r="D10" s="34" t="n">
        <x:v>211</x:v>
      </x:c>
      <x:c r="E10" s="34" t="n">
        <x:v>300</x:v>
      </x:c>
      <x:c r="F10" s="34" t="str">
        <x:v>developmental observation</x:v>
      </x:c>
      <x:c r="G10" s="34" t="str">
        <x:v>Si Kecil menjaga keseimbangan sambil meraih mainan di sekitar posisi duduk.</x:v>
      </x:c>
      <x:c r="H10" s="34" t="str">
        <x:v>SRC_AAP_MOVEMENT_8_12</x:v>
      </x:c>
      <x:c r="I10" s="34" t="str">
        <x:v>Lakukan di lantai dan tetap dekat untuk mencegah jatuh.</x:v>
      </x:c>
      <x:c r="J10" s="34" t="str">
        <x:v>source_checked</x:v>
      </x:c>
    </x:row>
    <x:row r="11">
      <x:c r="A11" s="34" t="str">
        <x:v>SK049</x:v>
      </x:c>
      <x:c r="B11" s="34" t="str">
        <x:v>Mencari benda yang jatuh atau hilang dari pandangan</x:v>
      </x:c>
      <x:c r="C11" s="34" t="str">
        <x:v>Berpikir &amp; Eksplorasi</x:v>
      </x:c>
      <x:c r="D11" s="34" t="n">
        <x:v>211</x:v>
      </x:c>
      <x:c r="E11" s="34" t="n">
        <x:v>300</x:v>
      </x:c>
      <x:c r="F11" s="34" t="str">
        <x:v>milestone/observation</x:v>
      </x:c>
      <x:c r="G11" s="34" t="str">
        <x:v>Si Kecil melihat atau mencari benda yang baru saja jatuh atau tersembunyi.</x:v>
      </x:c>
      <x:c r="H11" s="34" t="str">
        <x:v>SRC_CDC_9M_2026; SRC_UNICEF_9M</x:v>
      </x:c>
      <x:c r="I11" s="34" t="str">
        <x:v>Aktivitas pencarian tidak dipakai sebagai tes object permanence.</x:v>
      </x:c>
      <x:c r="J11" s="34" t="str">
        <x:v>source_checked</x:v>
      </x:c>
    </x:row>
    <x:row r="12">
      <x:c r="A12" s="34" t="str">
        <x:v>SK050</x:v>
      </x:c>
      <x:c r="B12" s="34" t="str">
        <x:v>Menikmati permainan cilukba</x:v>
      </x:c>
      <x:c r="C12" s="34" t="str">
        <x:v>Berpikir &amp; Eksplorasi</x:v>
      </x:c>
      <x:c r="D12" s="34" t="n">
        <x:v>211</x:v>
      </x:c>
      <x:c r="E12" s="34" t="n">
        <x:v>300</x:v>
      </x:c>
      <x:c r="F12" s="34" t="str">
        <x:v>milestone/observation</x:v>
      </x:c>
      <x:c r="G12" s="34" t="str">
        <x:v>Si Kecil tersenyum, tertawa, atau mengantisipasi permainan peek-a-boo.</x:v>
      </x:c>
      <x:c r="H12" s="34" t="str">
        <x:v>SRC_CDC_9M_2026; SRC_UNICEF_9M</x:v>
      </x:c>
      <x:c r="I12" s="34" t="str">
        <x:v>Respons bermain dipengaruhi mood dan temperamen.</x:v>
      </x:c>
      <x:c r="J12" s="34" t="str">
        <x:v>source_checked</x:v>
      </x:c>
    </x:row>
    <x:row r="13">
      <x:c r="A13" s="34" t="str">
        <x:v>SK051</x:v>
      </x:c>
      <x:c r="B13" s="34" t="str">
        <x:v>Meniru gerakan sederhana</x:v>
      </x:c>
      <x:c r="C13" s="34" t="str">
        <x:v>Berpikir &amp; Eksplorasi</x:v>
      </x:c>
      <x:c r="D13" s="34" t="n">
        <x:v>211</x:v>
      </x:c>
      <x:c r="E13" s="34" t="n">
        <x:v>300</x:v>
      </x:c>
      <x:c r="F13" s="34" t="str">
        <x:v>developmental observation</x:v>
      </x:c>
      <x:c r="G13" s="34" t="str">
        <x:v>Si Kecil mencoba meniru gerakan caregiver seperti tepuk tangan atau ketuk benda.</x:v>
      </x:c>
      <x:c r="H13" s="34" t="str">
        <x:v>SRC_UNICEF_9M; SRC_WHO_CCD_6_9</x:v>
      </x:c>
      <x:c r="I13" s="34" t="str">
        <x:v>Tidak perlu memaksa imitasi langsung.</x:v>
      </x:c>
      <x:c r="J13" s="34" t="str">
        <x:v>source_checked</x:v>
      </x:c>
    </x:row>
    <x:row r="14">
      <x:c r="A14" s="34" t="str">
        <x:v>SK052</x:v>
      </x:c>
      <x:c r="B14" s="34" t="str">
        <x:v>Bereksplorasi dengan menjatuhkan atau membenturkan benda</x:v>
      </x:c>
      <x:c r="C14" s="34" t="str">
        <x:v>Berpikir &amp; Eksplorasi</x:v>
      </x:c>
      <x:c r="D14" s="34" t="n">
        <x:v>181</x:v>
      </x:c>
      <x:c r="E14" s="34" t="n">
        <x:v>300</x:v>
      </x:c>
      <x:c r="F14" s="34" t="str">
        <x:v>developmental observation</x:v>
      </x:c>
      <x:c r="G14" s="34" t="str">
        <x:v>Si Kecil mengulang tindakan sederhana pada benda untuk melihat atau mendengar hasilnya.</x:v>
      </x:c>
      <x:c r="H14" s="34" t="str">
        <x:v>SRC_WHO_CCD_6_9; SRC_UNICEF_9M</x:v>
      </x:c>
      <x:c r="I14" s="34" t="str">
        <x:v>Gunakan benda aman dan permukaan rendah.</x:v>
      </x:c>
      <x:c r="J14" s="34" t="str">
        <x:v>source_checked</x:v>
      </x:c>
    </x:row>
    <x:row r="15">
      <x:c r="A15" s="34" t="str">
        <x:v>SK053</x:v>
      </x:c>
      <x:c r="B15" s="34" t="str">
        <x:v>Menunjukkan beberapa ekspresi wajah</x:v>
      </x:c>
      <x:c r="C15" s="34" t="str">
        <x:v>Sosial &amp; Emosi</x:v>
      </x:c>
      <x:c r="D15" s="34" t="n">
        <x:v>211</x:v>
      </x:c>
      <x:c r="E15" s="34" t="n">
        <x:v>300</x:v>
      </x:c>
      <x:c r="F15" s="34" t="str">
        <x:v>milestone/observation</x:v>
      </x:c>
      <x:c r="G15" s="34" t="str">
        <x:v>Si Kecil menunjukkan ekspresi berbeda seperti senang, sedih, marah, atau terkejut.</x:v>
      </x:c>
      <x:c r="H15" s="34" t="str">
        <x:v>SRC_CDC_9M_2026</x:v>
      </x:c>
      <x:c r="I15" s="34" t="str">
        <x:v>Tidak perlu memberi label emosi secara klinis.</x:v>
      </x:c>
      <x:c r="J15" s="34" t="str">
        <x:v>source_checked</x:v>
      </x:c>
    </x:row>
    <x:row r="16">
      <x:c r="A16" s="34" t="str">
        <x:v>SK054</x:v>
      </x:c>
      <x:c r="B16" s="34" t="str">
        <x:v>Merespons ketika dipanggil namanya</x:v>
      </x:c>
      <x:c r="C16" s="34" t="str">
        <x:v>Sosial &amp; Emosi</x:v>
      </x:c>
      <x:c r="D16" s="34" t="n">
        <x:v>211</x:v>
      </x:c>
      <x:c r="E16" s="34" t="n">
        <x:v>300</x:v>
      </x:c>
      <x:c r="F16" s="34" t="str">
        <x:v>milestone/observation</x:v>
      </x:c>
      <x:c r="G16" s="34" t="str">
        <x:v>Si Kecil melihat atau merespons ketika caregiver memanggil namanya.</x:v>
      </x:c>
      <x:c r="H16" s="34" t="str">
        <x:v>SRC_CDC_9M_2026; SRC_UNICEF_9M</x:v>
      </x:c>
      <x:c r="I16" s="34" t="str">
        <x:v>Bukan tes pendengaran; jangan mengulang keras sebagai tes.</x:v>
      </x:c>
      <x:c r="J16" s="34" t="str">
        <x:v>source_checked</x:v>
      </x:c>
    </x:row>
    <x:row r="17">
      <x:c r="A17" s="34" t="str">
        <x:v>SK055</x:v>
      </x:c>
      <x:c r="B17" s="34" t="str">
        <x:v>Bereaksi ketika caregiver pergi</x:v>
      </x:c>
      <x:c r="C17" s="34" t="str">
        <x:v>Sosial &amp; Emosi</x:v>
      </x:c>
      <x:c r="D17" s="34" t="n">
        <x:v>211</x:v>
      </x:c>
      <x:c r="E17" s="34" t="n">
        <x:v>300</x:v>
      </x:c>
      <x:c r="F17" s="34" t="str">
        <x:v>milestone/observation</x:v>
      </x:c>
      <x:c r="G17" s="34" t="str">
        <x:v>Si Kecil melihat, meraih, menangis, atau menunjukkan reaksi ketika caregiver menjauh.</x:v>
      </x:c>
      <x:c r="H17" s="34" t="str">
        <x:v>SRC_CDC_9M_2026</x:v>
      </x:c>
      <x:c r="I17" s="34" t="str">
        <x:v>Variasi respons besar; bukan ukuran kualitas attachment.</x:v>
      </x:c>
      <x:c r="J17" s="34" t="str">
        <x:v>source_checked</x:v>
      </x:c>
    </x:row>
    <x:row r="18">
      <x:c r="A18" s="34" t="str">
        <x:v>SK056</x:v>
      </x:c>
      <x:c r="B18" s="34" t="str">
        <x:v>Menunjukkan kehati-hatian pada orang asing</x:v>
      </x:c>
      <x:c r="C18" s="34" t="str">
        <x:v>Sosial &amp; Emosi</x:v>
      </x:c>
      <x:c r="D18" s="34" t="n">
        <x:v>211</x:v>
      </x:c>
      <x:c r="E18" s="34" t="n">
        <x:v>300</x:v>
      </x:c>
      <x:c r="F18" s="34" t="str">
        <x:v>milestone/observation</x:v>
      </x:c>
      <x:c r="G18" s="34" t="str">
        <x:v>Si Kecil dapat tampak malu, menempel, atau takut pada orang yang tidak dikenal.</x:v>
      </x:c>
      <x:c r="H18" s="34" t="str">
        <x:v>SRC_CDC_9M_2026; SRC_UNICEF_9M</x:v>
      </x:c>
      <x:c r="I18" s="34" t="str">
        <x:v>Jangan memaksa bayi berinteraksi atau digendong orang baru.</x:v>
      </x:c>
      <x:c r="J18" s="34" t="str">
        <x:v>source_checked</x:v>
      </x:c>
    </x:row>
    <x:row r="19">
      <x:c r="A19" s="34" t="str">
        <x:v>SK057</x:v>
      </x:c>
      <x:c r="B19" s="34" t="str">
        <x:v>Tersenyum/tertawa saat peek-a-boo</x:v>
      </x:c>
      <x:c r="C19" s="34" t="str">
        <x:v>Sosial &amp; Emosi</x:v>
      </x:c>
      <x:c r="D19" s="34" t="n">
        <x:v>211</x:v>
      </x:c>
      <x:c r="E19" s="34" t="n">
        <x:v>300</x:v>
      </x:c>
      <x:c r="F19" s="34" t="str">
        <x:v>milestone/observation</x:v>
      </x:c>
      <x:c r="G19" s="34" t="str">
        <x:v>Si Kecil tersenyum atau tertawa ketika bermain cilukba.</x:v>
      </x:c>
      <x:c r="H19" s="34" t="str">
        <x:v>SRC_CDC_9M_2026</x:v>
      </x:c>
      <x:c r="I19" s="34" t="str">
        <x:v>Bukan tes sosial tunggal.</x:v>
      </x:c>
      <x:c r="J19" s="34" t="str">
        <x:v>source_checked</x:v>
      </x:c>
    </x:row>
    <x:row r="20">
      <x:c r="A20" s="34" t="str">
        <x:v>SK058</x:v>
      </x:c>
      <x:c r="B20" s="34" t="str">
        <x:v>Babbling berulang seperti 'mamama'/'bababa'</x:v>
      </x:c>
      <x:c r="C20" s="34" t="str">
        <x:v>Bahasa &amp; Komunikasi</x:v>
      </x:c>
      <x:c r="D20" s="34" t="n">
        <x:v>211</x:v>
      </x:c>
      <x:c r="E20" s="34" t="n">
        <x:v>300</x:v>
      </x:c>
      <x:c r="F20" s="34" t="str">
        <x:v>milestone/observation</x:v>
      </x:c>
      <x:c r="G20" s="34" t="str">
        <x:v>Si Kecil menghasilkan rangkaian bunyi berulang seperti mamama atau bababa.</x:v>
      </x:c>
      <x:c r="H20" s="34" t="str">
        <x:v>SRC_CDC_9M_2026</x:v>
      </x:c>
      <x:c r="I20" s="34" t="str">
        <x:v>Tidak berarti kata bermakna; catat sebagai eksplorasi suara.</x:v>
      </x:c>
      <x:c r="J20" s="34" t="str">
        <x:v>source_checked</x:v>
      </x:c>
    </x:row>
    <x:row r="21">
      <x:c r="A21" s="34" t="str">
        <x:v>SK059</x:v>
      </x:c>
      <x:c r="B21" s="34" t="str">
        <x:v>Mengangkat tangan untuk minta digendong</x:v>
      </x:c>
      <x:c r="C21" s="34" t="str">
        <x:v>Bahasa &amp; Komunikasi</x:v>
      </x:c>
      <x:c r="D21" s="34" t="n">
        <x:v>211</x:v>
      </x:c>
      <x:c r="E21" s="34" t="n">
        <x:v>300</x:v>
      </x:c>
      <x:c r="F21" s="34" t="str">
        <x:v>milestone/observation</x:v>
      </x:c>
      <x:c r="G21" s="34" t="str">
        <x:v>Si Kecil mengangkat kedua tangan atau menggunakan gesture untuk menunjukkan ingin digendong.</x:v>
      </x:c>
      <x:c r="H21" s="34" t="str">
        <x:v>SRC_CDC_9M_2026</x:v>
      </x:c>
      <x:c r="I21" s="34" t="str">
        <x:v>Gesture dapat bervariasi antarbayi.</x:v>
      </x:c>
      <x:c r="J21" s="34" t="str">
        <x:v>source_checked</x:v>
      </x:c>
    </x:row>
    <x:row r="22">
      <x:c r="A22" s="34" t="str">
        <x:v>SK060</x:v>
      </x:c>
      <x:c r="B22" s="34" t="str">
        <x:v>Meniru bunyi atau pola suara caregiver</x:v>
      </x:c>
      <x:c r="C22" s="34" t="str">
        <x:v>Bahasa &amp; Komunikasi</x:v>
      </x:c>
      <x:c r="D22" s="34" t="n">
        <x:v>211</x:v>
      </x:c>
      <x:c r="E22" s="34" t="n">
        <x:v>300</x:v>
      </x:c>
      <x:c r="F22" s="34" t="str">
        <x:v>developmental observation</x:v>
      </x:c>
      <x:c r="G22" s="34" t="str">
        <x:v>Si Kecil mencoba meniru suara, intonasi, atau bunyi sederhana yang didengar.</x:v>
      </x:c>
      <x:c r="H22" s="34" t="str">
        <x:v>SRC_UNICEF_9M; SRC_WHO_CCD_6_9</x:v>
      </x:c>
      <x:c r="I22" s="34" t="str">
        <x:v>Jangan menuntut pengucapan tepat.</x:v>
      </x:c>
      <x:c r="J22" s="34" t="str">
        <x:v>source_checked</x:v>
      </x:c>
    </x:row>
    <x:row r="23">
      <x:c r="A23" s="34" t="str">
        <x:v>SK061</x:v>
      </x:c>
      <x:c r="B23" s="34" t="str">
        <x:v>Memperhatikan saat benda dinamai</x:v>
      </x:c>
      <x:c r="C23" s="34" t="str">
        <x:v>Bahasa &amp; Komunikasi</x:v>
      </x:c>
      <x:c r="D23" s="34" t="n">
        <x:v>181</x:v>
      </x:c>
      <x:c r="E23" s="34" t="n">
        <x:v>300</x:v>
      </x:c>
      <x:c r="F23" s="34" t="str">
        <x:v>developmental observation</x:v>
      </x:c>
      <x:c r="G23" s="34" t="str">
        <x:v>Si Kecil melihat benda atau caregiver ketika benda familiar disebutkan.</x:v>
      </x:c>
      <x:c r="H23" s="34" t="str">
        <x:v>SRC_UNICEF_9M; SRC_WHO_CCD_6_9</x:v>
      </x:c>
      <x:c r="I23" s="34" t="str">
        <x:v>Ini paparan bahasa, bukan tes pemahaman kata formal.</x:v>
      </x:c>
      <x:c r="J23" s="34" t="str">
        <x:v>source_checked</x:v>
      </x:c>
    </x:row>
    <x:row r="24">
      <x:c r="A24" s="34" t="str">
        <x:v>SK062</x:v>
      </x:c>
      <x:c r="B24" s="34" t="str">
        <x:v>Menggunakan suara/gesture untuk mempertahankan interaksi</x:v>
      </x:c>
      <x:c r="C24" s="34" t="str">
        <x:v>Bahasa &amp; Komunikasi</x:v>
      </x:c>
      <x:c r="D24" s="34" t="n">
        <x:v>181</x:v>
      </x:c>
      <x:c r="E24" s="34" t="n">
        <x:v>300</x:v>
      </x:c>
      <x:c r="F24" s="34" t="str">
        <x:v>developmental observation</x:v>
      </x:c>
      <x:c r="G24" s="34" t="str">
        <x:v>Si Kecil bersuara, menggerakkan tubuh, atau gesture untuk melanjutkan interaksi dengan caregiver.</x:v>
      </x:c>
      <x:c r="H24" s="34" t="str">
        <x:v>SRC_WHO_CCD_6_9; SRC_UNICEF_9M</x:v>
      </x:c>
      <x:c r="I24" s="34" t="str">
        <x:v>Amati dalam permainan alami.</x:v>
      </x:c>
      <x:c r="J24" s="34" t="str">
        <x:v>source_checked</x:v>
      </x:c>
    </x:row>
    <x:row r="25">
      <x:c r="A25" s="34" t="str">
        <x:v>SK063</x:v>
      </x:c>
      <x:c r="B25" s="34" t="str">
        <x:v>Menunjukkan minat pada gambar/buku dan benda yang ditunjuk</x:v>
      </x:c>
      <x:c r="C25" s="34" t="str">
        <x:v>Bahasa &amp; Komunikasi</x:v>
      </x:c>
      <x:c r="D25" s="34" t="n">
        <x:v>211</x:v>
      </x:c>
      <x:c r="E25" s="34" t="n">
        <x:v>300</x:v>
      </x:c>
      <x:c r="F25" s="34" t="str">
        <x:v>activity observation</x:v>
      </x:c>
      <x:c r="G25" s="34" t="str">
        <x:v>Si Kecil memperhatikan gambar, benda, atau arah tunjuk caregiver selama interaksi.</x:v>
      </x:c>
      <x:c r="H25" s="34" t="str">
        <x:v>SRC_UNICEF_9M</x:v>
      </x:c>
      <x:c r="I25" s="34" t="str">
        <x:v>Tidak menuntut pointing sebagai milestone pada 7–9 bulan.</x:v>
      </x:c>
      <x:c r="J25" s="34" t="str">
        <x:v>source_checked</x:v>
      </x:c>
    </x:row>
  </x:sheetData>
  <x:dataValidations count="1">
    <x:dataValidation type="list" sqref="J2:J25">
      <x:formula1>"draft,source_checked,clinical_review,approved"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c5f68b456f54073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0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22" hidden="0" customWidth="1"/>
    <x:col min="9" max="9" width="24" hidden="0" customWidth="1"/>
    <x:col min="10" max="10" width="18" hidden="0" customWidth="1"/>
    <x:col min="11" max="11" width="14" hidden="0" customWidth="1"/>
    <x:col min="12" max="12" width="44" hidden="0" customWidth="1"/>
    <x:col min="13" max="13" width="64" hidden="0" customWidth="1"/>
    <x:col min="14" max="14" width="78" hidden="0" customWidth="1"/>
    <x:col min="15" max="15" width="88" hidden="0" customWidth="1"/>
    <x:col min="16" max="16" width="66" hidden="0" customWidth="1"/>
    <x:col min="17" max="17" width="46" hidden="0" customWidth="1"/>
    <x:col min="18" max="18" width="50" hidden="0" customWidth="1"/>
    <x:col min="19" max="19" width="84" hidden="0" customWidth="1"/>
    <x:col min="20" max="20" width="70" hidden="0" customWidth="1"/>
    <x:col min="21" max="21" width="60" hidden="0" customWidth="1"/>
    <x:col min="22" max="22" width="52" hidden="0" customWidth="1"/>
    <x:col min="23" max="23" width="78" hidden="0" customWidth="1"/>
    <x:col min="24" max="24" width="18" hidden="0" customWidth="1"/>
    <x:col min="25" max="25" width="20" hidden="0" customWidth="1"/>
    <x:col min="26" max="26" width="18" hidden="0" customWidth="1"/>
    <x:col min="27" max="27" width="15" hidden="0" customWidth="1"/>
  </x:cols>
  <x:sheetData>
    <x:row r="1">
      <x:c r="A1" s="52" t="str">
        <x:v>activity_id</x:v>
      </x:c>
      <x:c r="B1" s="52" t="str">
        <x:v>title</x:v>
      </x:c>
      <x:c r="C1" s="52" t="str">
        <x:v>age_label</x:v>
      </x:c>
      <x:c r="D1" s="52" t="str">
        <x:v>min_age_days</x:v>
      </x:c>
      <x:c r="E1" s="52" t="str">
        <x:v>max_age_days</x:v>
      </x:c>
      <x:c r="F1" s="52" t="str">
        <x:v>min_age_month</x:v>
      </x:c>
      <x:c r="G1" s="52" t="str">
        <x:v>max_age_month</x:v>
      </x:c>
      <x:c r="H1" s="52" t="str">
        <x:v>primary_domain</x:v>
      </x:c>
      <x:c r="I1" s="52" t="str">
        <x:v>secondary_domains</x:v>
      </x:c>
      <x:c r="J1" s="52" t="str">
        <x:v>activity_type</x:v>
      </x:c>
      <x:c r="K1" s="52" t="str">
        <x:v>duration_minutes</x:v>
      </x:c>
      <x:c r="L1" s="52" t="str">
        <x:v>materials</x:v>
      </x:c>
      <x:c r="M1" s="52" t="str">
        <x:v>benefit_short</x:v>
      </x:c>
      <x:c r="N1" s="52" t="str">
        <x:v>benefit_detail</x:v>
      </x:c>
      <x:c r="O1" s="52" t="str">
        <x:v>instructions</x:v>
      </x:c>
      <x:c r="P1" s="52" t="str">
        <x:v>observe_items</x:v>
      </x:c>
      <x:c r="Q1" s="52" t="str">
        <x:v>easy_variation</x:v>
      </x:c>
      <x:c r="R1" s="52" t="str">
        <x:v>alternate_variation</x:v>
      </x:c>
      <x:c r="S1" s="52" t="str">
        <x:v>safety_notes</x:v>
      </x:c>
      <x:c r="T1" s="52" t="str">
        <x:v>stop_conditions</x:v>
      </x:c>
      <x:c r="U1" s="52" t="str">
        <x:v>prematurity_notes</x:v>
      </x:c>
      <x:c r="V1" s="52" t="str">
        <x:v>source_refs</x:v>
      </x:c>
      <x:c r="W1" s="52" t="str">
        <x:v>evidence_note</x:v>
      </x:c>
      <x:c r="X1" s="52" t="str">
        <x:v>review_status</x:v>
      </x:c>
      <x:c r="Y1" s="52" t="str">
        <x:v>reviewer</x:v>
      </x:c>
      <x:c r="Z1" s="52" t="str">
        <x:v>last_reviewed_at</x:v>
      </x:c>
      <x:c r="AA1" s="52" t="str">
        <x:v>content_version</x:v>
      </x:c>
    </x:row>
    <x:row r="2">
      <x:c r="A2" s="34" t="str">
        <x:v>ACT063</x:v>
      </x:c>
      <x:c r="B2" s="34" t="str">
        <x:v>Duduk dan Raih Mainan</x:v>
      </x:c>
      <x:c r="C2" s="34" t="str">
        <x:v>7–9 bulan</x:v>
      </x:c>
      <x:c r="D2" s="34" t="n">
        <x:v>211</x:v>
      </x:c>
      <x:c r="E2" s="34" t="n">
        <x:v>300</x:v>
      </x:c>
      <x:c r="F2" s="34" t="n">
        <x:v>7</x:v>
      </x:c>
      <x:c r="G2" s="34" t="n">
        <x:v>9</x:v>
      </x:c>
      <x:c r="H2" s="34" t="str">
        <x:v>Gerak Tubuh</x:v>
      </x:c>
      <x:c r="I2" s="34" t="str">
        <x:v>Tangan &amp; Koordinasi</x:v>
      </x:c>
      <x:c r="J2" s="34" t="str">
        <x:v>gerak</x:v>
      </x:c>
      <x:c r="K2" s="34" t="n">
        <x:v>5</x:v>
      </x:c>
      <x:c r="L2" s="34" t="str">
        <x:v>Matras aman; mainan besar</x:v>
      </x:c>
      <x:c r="M2" s="34" t="str">
        <x:v>Memberi kesempatan melatih keseimbangan batang tubuh sambil meraih benda dari posisi duduk.</x:v>
      </x:c>
      <x:c r="N2" s="34" t="str">
        <x:v>Pada rentang ini banyak bayi makin stabil duduk dan mulai meraih benda di sekitarnya; aktivitas dilakukan di lantai dan tidak memaksa durasi duduk.</x:v>
      </x:c>
      <x:c r="O2" s="34" t="str">
        <x:v>1) Dudukkan Si Kecil di matras bila sudah mampu duduk dengan dukungan minimal/mandiri. 2) Letakkan mainan sedikit di depan atau samping. 3) Biarkan ia meraih dan kembali seimbang.</x:v>
      </x:c>
      <x:c r="P2" s="34" t="str">
        <x:v>Menjaga duduk; menumpu tangan; meraih; kembali ke posisi tegak.</x:v>
      </x:c>
      <x:c r="Q2" s="34" t="str">
        <x:v>Letakkan mainan tepat di depan.</x:v>
      </x:c>
      <x:c r="R2" s="34" t="str">
        <x:v>Geser mainan sedikit ke samping pada sesi lain.</x:v>
      </x:c>
      <x:c r="S2" s="34" t="str">
        <x:v>Lakukan di lantai; caregiver tetap dekat; hindari permukaan tinggi dan benda keras di sekitar.</x:v>
      </x:c>
      <x:c r="T2" s="34" t="str">
        <x:v>Hentikan bila bayi jatuh berulang, tampak lelah, atau kehilangan kontrol kepala.</x:v>
      </x:c>
      <x:c r="U2" s="34" t="str">
        <x:v>Prematur: gunakan corrected age dan kemampuan aktual.</x:v>
      </x:c>
      <x:c r="V2" s="34" t="str">
        <x:v>SRC_CDC_9M_2026; SRC_AAP_MOVEMENT_8_12</x:v>
      </x:c>
      <x:c r="W2" s="34" t="str">
        <x:v>CDC/AAP mendeskripsikan duduk tanpa dukungan dan reaching from sitting sekitar usia ini.</x:v>
      </x:c>
      <x:c r="X2" s="34" t="str">
        <x:v>source_checked</x:v>
      </x:c>
      <x:c r="Y2" s="34" t="str"/>
      <x:c r="Z2" s="34" t="str"/>
      <x:c r="AA2" s="34" t="str">
        <x:v>v0.3</x:v>
      </x:c>
    </x:row>
    <x:row r="3">
      <x:c r="A3" s="34" t="str">
        <x:v>ACT064</x:v>
      </x:c>
      <x:c r="B3" s="34" t="str">
        <x:v>Putar Badan Saat Duduk</x:v>
      </x:c>
      <x:c r="C3" s="34" t="str">
        <x:v>7–9 bulan</x:v>
      </x:c>
      <x:c r="D3" s="34" t="n">
        <x:v>211</x:v>
      </x:c>
      <x:c r="E3" s="34" t="n">
        <x:v>300</x:v>
      </x:c>
      <x:c r="F3" s="34" t="n">
        <x:v>7</x:v>
      </x:c>
      <x:c r="G3" s="34" t="n">
        <x:v>9</x:v>
      </x:c>
      <x:c r="H3" s="34" t="str">
        <x:v>Gerak Tubuh</x:v>
      </x:c>
      <x:c r="I3" s="34" t="str">
        <x:v>Berpikir &amp; Eksplorasi</x:v>
      </x:c>
      <x:c r="J3" s="34" t="str">
        <x:v>gerak</x:v>
      </x:c>
      <x:c r="K3" s="34" t="n">
        <x:v>5</x:v>
      </x:c>
      <x:c r="L3" s="34" t="str">
        <x:v>Matras aman; dua mainan besar</x:v>
      </x:c>
      <x:c r="M3" s="34" t="str">
        <x:v>Memberi kesempatan melatih rotasi batang tubuh dan keseimbangan saat perhatian berpindah ke sisi berbeda.</x:v>
      </x:c>
      <x:c r="N3" s="34" t="str">
        <x:v>Rotasi tubuh saat duduk membantu bayi mengeksplorasi lingkungan sambil menjaga keseimbangan.</x:v>
      </x:c>
      <x:c r="O3" s="34" t="str">
        <x:v>1) Saat duduk aman, tampilkan mainan di satu sisi. 2) Tunggu bayi memutar badan/meraih. 3) Ulangi sisi lain di sesi berbeda.</x:v>
      </x:c>
      <x:c r="P3" s="34" t="str">
        <x:v>Memutar bahu/badan; menumpu tangan; tetap duduk; meraih.</x:v>
      </x:c>
      <x:c r="Q3" s="34" t="str">
        <x:v>Mainan dekat garis tengah.</x:v>
      </x:c>
      <x:c r="R3" s="34" t="str">
        <x:v>Letakkan sedikit lebih ke samping bila stabil.</x:v>
      </x:c>
      <x:c r="S3" s="34" t="str">
        <x:v>Lakukan di lantai; jangan menarik badan bayi; singkirkan benda keras.</x:v>
      </x:c>
      <x:c r="T3" s="34" t="str">
        <x:v>Hentikan bila bayi kehilangan keseimbangan berulang atau distress.</x:v>
      </x:c>
      <x:c r="U3" s="34" t="str">
        <x:v>Prematur: sesuaikan jarak dan dukungan.</x:v>
      </x:c>
      <x:c r="V3" s="34" t="str">
        <x:v>SRC_AAP_MOVEMENT_8_12; SRC_UNICEF_9M</x:v>
      </x:c>
      <x:c r="W3" s="34" t="str">
        <x:v>AAP menyebut bayi duduk mulai membungkuk/meraih benda seiring trunk control meningkat.</x:v>
      </x:c>
      <x:c r="X3" s="34" t="str">
        <x:v>source_checked</x:v>
      </x:c>
      <x:c r="Y3" s="34" t="str"/>
      <x:c r="Z3" s="34" t="str"/>
      <x:c r="AA3" s="34" t="str">
        <x:v>v0.3</x:v>
      </x:c>
    </x:row>
    <x:row r="4">
      <x:c r="A4" s="34" t="str">
        <x:v>ACT065</x:v>
      </x:c>
      <x:c r="B4" s="34" t="str">
        <x:v>Kejar Mainan Sedikit di Depan</x:v>
      </x:c>
      <x:c r="C4" s="34" t="str">
        <x:v>7–9 bulan</x:v>
      </x:c>
      <x:c r="D4" s="34" t="n">
        <x:v>211</x:v>
      </x:c>
      <x:c r="E4" s="34" t="n">
        <x:v>300</x:v>
      </x:c>
      <x:c r="F4" s="34" t="n">
        <x:v>7</x:v>
      </x:c>
      <x:c r="G4" s="34" t="n">
        <x:v>9</x:v>
      </x:c>
      <x:c r="H4" s="34" t="str">
        <x:v>Gerak Tubuh</x:v>
      </x:c>
      <x:c r="I4" s="34" t="str">
        <x:v>Berpikir &amp; Eksplorasi</x:v>
      </x:c>
      <x:c r="J4" s="34" t="str">
        <x:v>gerak</x:v>
      </x:c>
      <x:c r="K4" s="34" t="n">
        <x:v>6</x:v>
      </x:c>
      <x:c r="L4" s="34" t="str">
        <x:v>Matras luas; mainan favorit besar</x:v>
      </x:c>
      <x:c r="M4" s="34" t="str">
        <x:v>Memberi kesempatan Si Kecil mencoba berpindah mendekati benda dengan cara gerak yang nyaman baginya.</x:v>
      </x:c>
      <x:c r="N4" s="34" t="str">
        <x:v>Bayi dapat bergerak dengan berguling, merayap, scooting, atau merangkak; tujuan aktivitas adalah eksplorasi, bukan memaksa pola merangkak tertentu.</x:v>
      </x:c>
      <x:c r="O4" s="34" t="str">
        <x:v>1) Letakkan mainan sedikit di depan dalam jarak realistis. 2) Beri waktu Si Kecil mencari cara mendekat. 3) Dekatkan bila ia frustrasi.</x:v>
      </x:c>
      <x:c r="P4" s="34" t="str">
        <x:v>Berguling; merayap; scooting; posisi tangan-lutut; berpindah mendekat.</x:v>
      </x:c>
      <x:c r="Q4" s="34" t="str">
        <x:v>Mainan sangat dekat.</x:v>
      </x:c>
      <x:c r="R4" s="34" t="str">
        <x:v>Tambah jarak sedikit bila bayi menikmati.</x:v>
      </x:c>
      <x:c r="S4" s="34" t="str">
        <x:v>Lantai harus bersih dan baby-proof; jauhkan koin, baterai kancing, benda kecil, kabel, dan tepi tajam.</x:v>
      </x:c>
      <x:c r="T4" s="34" t="str">
        <x:v>Hentikan bila area tidak aman, bayi sangat frustrasi, atau lelah.</x:v>
      </x:c>
      <x:c r="U4" s="34" t="str">
        <x:v>Prematur: gunakan corrected age dan kemampuan aktual.</x:v>
      </x:c>
      <x:c r="V4" s="34" t="str">
        <x:v>SRC_AAP_MOVEMENT_8_12; SRC_UNICEF_9M</x:v>
      </x:c>
      <x:c r="W4" s="34" t="str">
        <x:v>AAP mendorong objek menarik sedikit di luar jangkauan untuk eksplorasi/crawling dengan pengawasan.</x:v>
      </x:c>
      <x:c r="X4" s="34" t="str">
        <x:v>source_checked</x:v>
      </x:c>
      <x:c r="Y4" s="34" t="str"/>
      <x:c r="Z4" s="34" t="str"/>
      <x:c r="AA4" s="34" t="str">
        <x:v>v0.3</x:v>
      </x:c>
    </x:row>
    <x:row r="5">
      <x:c r="A5" s="34" t="str">
        <x:v>ACT066</x:v>
      </x:c>
      <x:c r="B5" s="34" t="str">
        <x:v>Rocking Tangan–Lutut</x:v>
      </x:c>
      <x:c r="C5" s="34" t="str">
        <x:v>7–9 bulan</x:v>
      </x:c>
      <x:c r="D5" s="34" t="n">
        <x:v>211</x:v>
      </x:c>
      <x:c r="E5" s="34" t="n">
        <x:v>300</x:v>
      </x:c>
      <x:c r="F5" s="34" t="n">
        <x:v>7</x:v>
      </x:c>
      <x:c r="G5" s="34" t="n">
        <x:v>9</x:v>
      </x:c>
      <x:c r="H5" s="34" t="str">
        <x:v>Gerak Tubuh</x:v>
      </x:c>
      <x:c r="I5" s="34" t="str">
        <x:v>Tangan &amp; Koordinasi</x:v>
      </x:c>
      <x:c r="J5" s="34" t="str">
        <x:v>gerak</x:v>
      </x:c>
      <x:c r="K5" s="34" t="n">
        <x:v>4</x:v>
      </x:c>
      <x:c r="L5" s="34" t="str">
        <x:v>Matras datar</x:v>
      </x:c>
      <x:c r="M5" s="34" t="str">
        <x:v>Memberi kesempatan merasakan perpindahan berat tubuh pada tangan dan lutut sebagai bagian eksplorasi gerak.</x:v>
      </x:c>
      <x:c r="N5" s="34" t="str">
        <x:v>Sebagian bayi pada usia ini mulai berada di posisi tangan-lutut dan rocking sebelum bergerak maju.</x:v>
      </x:c>
      <x:c r="O5" s="34" t="str">
        <x:v>1) Biarkan bayi tummy/floor play. 2) Jika ia sendiri masuk posisi tangan-lutut, letakkan mainan di depan. 3) Biarkan rocking terjadi alami; tidak perlu menempatkan tubuh secara paksa.</x:v>
      </x:c>
      <x:c r="P5" s="34" t="str">
        <x:v>Posisi tangan-lutut; rocking; memindahkan berat; mencoba maju/mundur.</x:v>
      </x:c>
      <x:c r="Q5" s="34" t="str">
        <x:v>Cukup tummy play tanpa target posisi.</x:v>
      </x:c>
      <x:c r="R5" s="34" t="str">
        <x:v>Mainan sedikit di depan saat posisi muncul alami.</x:v>
      </x:c>
      <x:c r="S5" s="34" t="str">
        <x:v>Jangan memaksa lutut/tangan ke posisi tertentu; permukaan empuk-tipis dan stabil.</x:v>
      </x:c>
      <x:c r="T5" s="34" t="str">
        <x:v>Hentikan bila bayi tampak kesakitan atau sangat lelah.</x:v>
      </x:c>
      <x:c r="U5" s="34" t="str">
        <x:v>Prematur: sesuaikan dengan corrected age.</x:v>
      </x:c>
      <x:c r="V5" s="34" t="str">
        <x:v>SRC_AAP_MOVEMENT_8_12</x:v>
      </x:c>
      <x:c r="W5" s="34" t="str">
        <x:v>AAP menjelaskan rocking on hands and knees sebagai salah satu pola sebelum crawling.</x:v>
      </x:c>
      <x:c r="X5" s="34" t="str">
        <x:v>source_checked</x:v>
      </x:c>
      <x:c r="Y5" s="34" t="str"/>
      <x:c r="Z5" s="34" t="str"/>
      <x:c r="AA5" s="34" t="str">
        <x:v>v0.3</x:v>
      </x:c>
    </x:row>
    <x:row r="6">
      <x:c r="A6" s="34" t="str">
        <x:v>ACT067</x:v>
      </x:c>
      <x:c r="B6" s="34" t="str">
        <x:v>Merayap atau Merangkak Menuju Ayah/Bunda</x:v>
      </x:c>
      <x:c r="C6" s="34" t="str">
        <x:v>8–9 bulan</x:v>
      </x:c>
      <x:c r="D6" s="34" t="n">
        <x:v>241</x:v>
      </x:c>
      <x:c r="E6" s="34" t="n">
        <x:v>300</x:v>
      </x:c>
      <x:c r="F6" s="34" t="n">
        <x:v>8</x:v>
      </x:c>
      <x:c r="G6" s="34" t="n">
        <x:v>9</x:v>
      </x:c>
      <x:c r="H6" s="34" t="str">
        <x:v>Gerak Tubuh</x:v>
      </x:c>
      <x:c r="I6" s="34" t="str">
        <x:v>Sosial &amp; Emosi</x:v>
      </x:c>
      <x:c r="J6" s="34" t="str">
        <x:v>gerak</x:v>
      </x:c>
      <x:c r="K6" s="34" t="n">
        <x:v>6</x:v>
      </x:c>
      <x:c r="L6" s="34" t="str">
        <x:v>Matras/ruang lantai aman</x:v>
      </x:c>
      <x:c r="M6" s="34" t="str">
        <x:v>Memberi kesempatan mengembangkan mobilitas dan koordinasi tubuh sambil bergerak menuju orang yang familiar.</x:v>
      </x:c>
      <x:c r="N6" s="34" t="str">
        <x:v>Target sosial seperti caregiver dapat menjadi motivasi alami untuk eksplorasi gerak tanpa memaksa pola tertentu.</x:v>
      </x:c>
      <x:c r="O6" s="34" t="str">
        <x:v>1) Duduk beberapa langkah dari bayi di lantai aman. 2) Panggil lembut dan buka tangan. 3) Biarkan bayi bergerak dengan caranya sendiri.</x:v>
      </x:c>
      <x:c r="P6" s="34" t="str">
        <x:v>Merayap; merangkak; scooting; berguling; bergerak menuju caregiver.</x:v>
      </x:c>
      <x:c r="Q6" s="34" t="str">
        <x:v>Jarak sangat dekat.</x:v>
      </x:c>
      <x:c r="R6" s="34" t="str">
        <x:v>Tambah jarak sedikit bila bayi antusias.</x:v>
      </x:c>
      <x:c r="S6" s="34" t="str">
        <x:v>Baby-proof area; gunakan gate pada tangga; tidak ada kabel, furnitur goyah, benda kecil, atau permukaan tinggi.</x:v>
      </x:c>
      <x:c r="T6" s="34" t="str">
        <x:v>Hentikan bila bayi distress atau area tidak aman.</x:v>
      </x:c>
      <x:c r="U6" s="34" t="str">
        <x:v>Prematur: corrected age dan kemampuan aktual.</x:v>
      </x:c>
      <x:c r="V6" s="34" t="str">
        <x:v>SRC_AAP_MOVEMENT_8_12; SRC_UNICEF_9M</x:v>
      </x:c>
      <x:c r="W6" s="34" t="str">
        <x:v>AAP/UNICEF membahas meningkatnya mobilitas dan eksplorasi pada sekitar 8–9 bulan.</x:v>
      </x:c>
      <x:c r="X6" s="34" t="str">
        <x:v>source_checked</x:v>
      </x:c>
      <x:c r="Y6" s="34" t="str"/>
      <x:c r="Z6" s="34" t="str"/>
      <x:c r="AA6" s="34" t="str">
        <x:v>v0.3</x:v>
      </x:c>
    </x:row>
    <x:row r="7">
      <x:c r="A7" s="34" t="str">
        <x:v>ACT068</x:v>
      </x:c>
      <x:c r="B7" s="34" t="str">
        <x:v>Berdiri dengan Dukungan Furnitur Kokoh</x:v>
      </x:c>
      <x:c r="C7" s="34" t="str">
        <x:v>8–9 bulan</x:v>
      </x:c>
      <x:c r="D7" s="34" t="n">
        <x:v>241</x:v>
      </x:c>
      <x:c r="E7" s="34" t="n">
        <x:v>300</x:v>
      </x:c>
      <x:c r="F7" s="34" t="n">
        <x:v>8</x:v>
      </x:c>
      <x:c r="G7" s="34" t="n">
        <x:v>9</x:v>
      </x:c>
      <x:c r="H7" s="34" t="str">
        <x:v>Gerak Tubuh</x:v>
      </x:c>
      <x:c r="I7" s="34" t="str">
        <x:v>Tangan &amp; Koordinasi</x:v>
      </x:c>
      <x:c r="J7" s="34" t="str">
        <x:v>gerak</x:v>
      </x:c>
      <x:c r="K7" s="34" t="n">
        <x:v>4</x:v>
      </x:c>
      <x:c r="L7" s="34" t="str">
        <x:v>Sofa rendah/furnitur sangat kokoh dan terikat aman</x:v>
      </x:c>
      <x:c r="M7" s="34" t="str">
        <x:v>Memberi kesempatan menggunakan kaki dan batang tubuh saat Si Kecil secara alami tertarik menarik tubuh ke posisi berdiri.</x:v>
      </x:c>
      <x:c r="N7" s="34" t="str">
        <x:v>Sebagian bayi mulai menarik diri berdiri pada rentang ini; aktivitas hanya diberikan bila perilaku tersebut mulai muncul.</x:v>
      </x:c>
      <x:c r="O7" s="34" t="str">
        <x:v>1) Pilih furnitur sangat stabil. 2) Letakkan mainan di permukaan rendah. 3) Biarkan bayi menarik diri berdiri sendiri; caregiver berjaga dekat.</x:v>
      </x:c>
      <x:c r="P7" s="34" t="str">
        <x:v>Menumpu tangan; menekuk/meluruskan kaki; menarik tubuh ke atas; bertahan berdiri dengan dukungan.</x:v>
      </x:c>
      <x:c r="Q7" s="34" t="str">
        <x:v>Main di posisi berlutut/dekat sofa tanpa harus berdiri.</x:v>
      </x:c>
      <x:c r="R7" s="34" t="str">
        <x:v>Beri ruang bayi menurunkan tubuh sendiri bila sudah mampu.</x:v>
      </x:c>
      <x:c r="S7" s="34" t="str">
        <x:v>Furnitur wajib stabil/terikat; tidak ada sudut tajam; jangan gunakan baby walker; tangga harus diberi gate.</x:v>
      </x:c>
      <x:c r="T7" s="34" t="str">
        <x:v>Hentikan bila furnitur bergerak, bayi jatuh berulang, atau lelah.</x:v>
      </x:c>
      <x:c r="U7" s="34" t="str">
        <x:v>Prematur: gunakan corrected age dan kemampuan aktual; tidak perlu mempercepat standing.</x:v>
      </x:c>
      <x:c r="V7" s="34" t="str">
        <x:v>SRC_AAP_MOVEMENT_8_12; SRC_UNICEF_9M</x:v>
      </x:c>
      <x:c r="W7" s="34" t="str">
        <x:v>AAP membahas pulling to stand serta menegaskan keamanan furnitur dan tidak merekomendasikan baby walker.</x:v>
      </x:c>
      <x:c r="X7" s="34" t="str">
        <x:v>source_checked</x:v>
      </x:c>
      <x:c r="Y7" s="34" t="str"/>
      <x:c r="Z7" s="34" t="str"/>
      <x:c r="AA7" s="34" t="str">
        <x:v>v0.3</x:v>
      </x:c>
    </x:row>
    <x:row r="8">
      <x:c r="A8" s="34" t="str">
        <x:v>ACT069</x:v>
      </x:c>
      <x:c r="B8" s="34" t="str">
        <x:v>Pindahkan Mainan Antartangan</x:v>
      </x:c>
      <x:c r="C8" s="34" t="str">
        <x:v>7–9 bulan</x:v>
      </x:c>
      <x:c r="D8" s="34" t="n">
        <x:v>211</x:v>
      </x:c>
      <x:c r="E8" s="34" t="n">
        <x:v>300</x:v>
      </x:c>
      <x:c r="F8" s="34" t="n">
        <x:v>7</x:v>
      </x:c>
      <x:c r="G8" s="34" t="n">
        <x:v>9</x:v>
      </x:c>
      <x:c r="H8" s="34" t="str">
        <x:v>Tangan &amp; Koordinasi</x:v>
      </x:c>
      <x:c r="I8" s="34" t="str">
        <x:v>Berpikir &amp; Eksplorasi</x:v>
      </x:c>
      <x:c r="J8" s="34" t="str">
        <x:v>koordinasi</x:v>
      </x:c>
      <x:c r="K8" s="34" t="n">
        <x:v>5</x:v>
      </x:c>
      <x:c r="L8" s="34" t="str">
        <x:v>Satu mainan besar ringan</x:v>
      </x:c>
      <x:c r="M8" s="34" t="str">
        <x:v>Memberi kesempatan menggunakan kedua tangan dan memindahkan benda antartangan saat bereksplorasi.</x:v>
      </x:c>
      <x:c r="N8" s="34" t="str">
        <x:v>Transfer benda antartangan merupakan observasi umum pada rentang ini dan dapat muncul alami saat bermain.</x:v>
      </x:c>
      <x:c r="O8" s="34" t="str">
        <x:v>1) Berikan mainan ke satu tangan. 2) Tawarkan benda lain dari sisi berlawanan atau tunggu bayi mengeksplorasi. 3) Amati apakah benda dipindah/dilepas.</x:v>
      </x:c>
      <x:c r="P8" s="34" t="str">
        <x:v>Menggunakan dua tangan; memindahkan; melepas; mengganti genggaman.</x:v>
      </x:c>
      <x:c r="Q8" s="34" t="str">
        <x:v>Gunakan satu benda dan kedua tangan menyentuhnya.</x:v>
      </x:c>
      <x:c r="R8" s="34" t="str">
        <x:v>Tawarkan benda kedua.</x:v>
      </x:c>
      <x:c r="S8" s="34" t="str">
        <x:v>Benda besar, utuh, tanpa bagian kecil/tali panjang.</x:v>
      </x:c>
      <x:c r="T8" s="34" t="str">
        <x:v>Hentikan bila benda rusak atau bayi lelah.</x:v>
      </x:c>
      <x:c r="U8" s="34" t="str">
        <x:v>Prematur: sesuaikan corrected age.</x:v>
      </x:c>
      <x:c r="V8" s="34" t="str">
        <x:v>SRC_CDC_9M_2026; SRC_UNICEF_9M</x:v>
      </x:c>
      <x:c r="W8" s="34" t="str">
        <x:v>CDC/UNICEF memasukkan transfer benda antar tangan pada perkembangan sekitar 9 bulan.</x:v>
      </x:c>
      <x:c r="X8" s="34" t="str">
        <x:v>source_checked</x:v>
      </x:c>
      <x:c r="Y8" s="34" t="str"/>
      <x:c r="Z8" s="34" t="str"/>
      <x:c r="AA8" s="34" t="str">
        <x:v>v0.3</x:v>
      </x:c>
    </x:row>
    <x:row r="9">
      <x:c r="A9" s="34" t="str">
        <x:v>ACT070</x:v>
      </x:c>
      <x:c r="B9" s="34" t="str">
        <x:v>Benturkan Dua Benda Aman</x:v>
      </x:c>
      <x:c r="C9" s="34" t="str">
        <x:v>7–9 bulan</x:v>
      </x:c>
      <x:c r="D9" s="34" t="n">
        <x:v>211</x:v>
      </x:c>
      <x:c r="E9" s="34" t="n">
        <x:v>300</x:v>
      </x:c>
      <x:c r="F9" s="34" t="n">
        <x:v>7</x:v>
      </x:c>
      <x:c r="G9" s="34" t="n">
        <x:v>9</x:v>
      </x:c>
      <x:c r="H9" s="34" t="str">
        <x:v>Tangan &amp; Koordinasi</x:v>
      </x:c>
      <x:c r="I9" s="34" t="str">
        <x:v>Berpikir &amp; Eksplorasi</x:v>
      </x:c>
      <x:c r="J9" s="34" t="str">
        <x:v>koordinasi</x:v>
      </x:c>
      <x:c r="K9" s="34" t="n">
        <x:v>5</x:v>
      </x:c>
      <x:c r="L9" s="34" t="str">
        <x:v>Dua blok besar ringan/cup plastik tebal</x:v>
      </x:c>
      <x:c r="M9" s="34" t="str">
        <x:v>Memberi kesempatan menggunakan kedua tangan bersamaan dan mengalami bunyi/gerak ketika dua benda bertemu.</x:v>
      </x:c>
      <x:c r="N9" s="34" t="str">
        <x:v>Membenturkan dua benda adalah salah satu cara eksplorasi koordinasi dan sebab-akibat pada usia ini.</x:v>
      </x:c>
      <x:c r="O9" s="34" t="str">
        <x:v>1) Berikan satu benda di tiap tangan bila bayi mau. 2) Contohkan sekali mengetukkan lembut. 3) Biarkan bayi mencoba sendiri.</x:v>
      </x:c>
      <x:c r="P9" s="34" t="str">
        <x:v>Memegang dua benda; mendekatkan; membenturkan; memperhatikan bunyi.</x:v>
      </x:c>
      <x:c r="Q9" s="34" t="str">
        <x:v>Satu benda dipegang dua tangan.</x:v>
      </x:c>
      <x:c r="R9" s="34" t="str">
        <x:v>Dua benda dengan bunyi berbeda tapi tetap lembut.</x:v>
      </x:c>
      <x:c r="S9" s="34" t="str">
        <x:v>Benda ringan, tidak pecah, tidak tajam; jauhkan dari wajah.</x:v>
      </x:c>
      <x:c r="T9" s="34" t="str">
        <x:v>Hentikan jika bayi memukul wajah/tubuh keras atau benda retak.</x:v>
      </x:c>
      <x:c r="U9" s="34" t="str">
        <x:v>Prematur: gunakan benda sangat ringan.</x:v>
      </x:c>
      <x:c r="V9" s="34" t="str">
        <x:v>SRC_CDC_9M_2026; SRC_WHO_CCD_6_9</x:v>
      </x:c>
      <x:c r="W9" s="34" t="str">
        <x:v>CDC 9 bulan mencantumkan bangs two things together.</x:v>
      </x:c>
      <x:c r="X9" s="34" t="str">
        <x:v>source_checked</x:v>
      </x:c>
      <x:c r="Y9" s="34" t="str"/>
      <x:c r="Z9" s="34" t="str"/>
      <x:c r="AA9" s="34" t="str">
        <x:v>v0.3</x:v>
      </x:c>
    </x:row>
    <x:row r="10">
      <x:c r="A10" s="34" t="str">
        <x:v>ACT071</x:v>
      </x:c>
      <x:c r="B10" s="34" t="str">
        <x:v>Masukkan dan Keluarkan Benda Besar dari Wadah</x:v>
      </x:c>
      <x:c r="C10" s="34" t="str">
        <x:v>7–9 bulan</x:v>
      </x:c>
      <x:c r="D10" s="34" t="n">
        <x:v>211</x:v>
      </x:c>
      <x:c r="E10" s="34" t="n">
        <x:v>300</x:v>
      </x:c>
      <x:c r="F10" s="34" t="n">
        <x:v>7</x:v>
      </x:c>
      <x:c r="G10" s="34" t="n">
        <x:v>9</x:v>
      </x:c>
      <x:c r="H10" s="34" t="str">
        <x:v>Tangan &amp; Koordinasi</x:v>
      </x:c>
      <x:c r="I10" s="34" t="str">
        <x:v>Berpikir &amp; Eksplorasi</x:v>
      </x:c>
      <x:c r="J10" s="34" t="str">
        <x:v>koordinasi</x:v>
      </x:c>
      <x:c r="K10" s="34" t="n">
        <x:v>6</x:v>
      </x:c>
      <x:c r="L10" s="34" t="str">
        <x:v>Wadah lebar; 2–3 blok/cup besar</x:v>
      </x:c>
      <x:c r="M10" s="34" t="str">
        <x:v>Memberi kesempatan melatih koordinasi tangan sambil memahami hubungan sederhana antara benda dan wadah.</x:v>
      </x:c>
      <x:c r="N10" s="34" t="str">
        <x:v>Aktivitas berulang memasukkan/mengeluarkan membantu eksplorasi ruang dan kontrol tangan.</x:v>
      </x:c>
      <x:c r="O10" s="34" t="str">
        <x:v>1) Masukkan satu benda besar ke wadah sambil dilihat bayi. 2) Berikan wadah. 3) Biarkan bayi mengambil, memasukkan, atau menumpahkan dengan caranya.</x:v>
      </x:c>
      <x:c r="P10" s="34" t="str">
        <x:v>Mengambil benda; melepas ke wadah; membalik wadah; mencari benda.</x:v>
      </x:c>
      <x:c r="Q10" s="34" t="str">
        <x:v>Hanya keluarkan benda dari wadah.</x:v>
      </x:c>
      <x:c r="R10" s="34" t="str">
        <x:v>Tawarkan dua bentuk besar berbeda.</x:v>
      </x:c>
      <x:c r="S10" s="34" t="str">
        <x:v>Semua benda terlalu besar untuk tertelan; wadah tidak boleh menutup kepala/wajah; tanpa tepi tajam.</x:v>
      </x:c>
      <x:c r="T10" s="34" t="str">
        <x:v>Hentikan bila wadah/benda rusak atau bayi frustrasi.</x:v>
      </x:c>
      <x:c r="U10" s="34" t="str">
        <x:v>Prematur: sesuaikan kompleksitas.</x:v>
      </x:c>
      <x:c r="V10" s="34" t="str">
        <x:v>SRC_WHO_CCD_6_9; SRC_UNICEF_9M</x:v>
      </x:c>
      <x:c r="W10" s="34" t="str">
        <x:v>Selaras dengan safe object exploration dan repeated actions pada usia 6–9 bulan.</x:v>
      </x:c>
      <x:c r="X10" s="34" t="str">
        <x:v>source_checked</x:v>
      </x:c>
      <x:c r="Y10" s="34" t="str"/>
      <x:c r="Z10" s="34" t="str"/>
      <x:c r="AA10" s="34" t="str">
        <x:v>v0.3</x:v>
      </x:c>
    </x:row>
    <x:row r="11">
      <x:c r="A11" s="34" t="str">
        <x:v>ACT072</x:v>
      </x:c>
      <x:c r="B11" s="34" t="str">
        <x:v>Putar dan Raba Mainan</x:v>
      </x:c>
      <x:c r="C11" s="34" t="str">
        <x:v>7–9 bulan</x:v>
      </x:c>
      <x:c r="D11" s="34" t="n">
        <x:v>211</x:v>
      </x:c>
      <x:c r="E11" s="34" t="n">
        <x:v>300</x:v>
      </x:c>
      <x:c r="F11" s="34" t="n">
        <x:v>7</x:v>
      </x:c>
      <x:c r="G11" s="34" t="n">
        <x:v>9</x:v>
      </x:c>
      <x:c r="H11" s="34" t="str">
        <x:v>Tangan &amp; Koordinasi</x:v>
      </x:c>
      <x:c r="I11" s="34" t="str">
        <x:v>Berpikir &amp; Eksplorasi</x:v>
      </x:c>
      <x:c r="J11" s="34" t="str">
        <x:v>sensorimotor</x:v>
      </x:c>
      <x:c r="K11" s="34" t="n">
        <x:v>5</x:v>
      </x:c>
      <x:c r="L11" s="34" t="str">
        <x:v>Mainan besar dengan bentuk/tekstur aman</x:v>
      </x:c>
      <x:c r="M11" s="34" t="str">
        <x:v>Memberi kesempatan menggunakan jari dan pergelangan tangan untuk mengeksplorasi permukaan dan bentuk benda.</x:v>
      </x:c>
      <x:c r="N11" s="34" t="str">
        <x:v>Bayi pada usia ini makin aktif memanipulasi benda melalui genggaman, rotasi, sentuhan, dan mouthing aman.</x:v>
      </x:c>
      <x:c r="O11" s="34" t="str">
        <x:v>1) Berikan satu mainan besar. 2) Biarkan bayi memutar, meraba, menggenggam, atau membawa ke mulut. 3) Sebutkan sederhana tekstur/bagian yang disentuh.</x:v>
      </x:c>
      <x:c r="P11" s="34" t="str">
        <x:v>Memutar; meraba; berganti genggaman; mouthing.</x:v>
      </x:c>
      <x:c r="Q11" s="34" t="str">
        <x:v>Gunakan satu bentuk sederhana.</x:v>
      </x:c>
      <x:c r="R11" s="34" t="str">
        <x:v>Gunakan tekstur berbeda di sesi lain.</x:v>
      </x:c>
      <x:c r="S11" s="34" t="str">
        <x:v>Mainan harus utuh, bersih, bebas bagian kecil/baterai terbuka/tali.</x:v>
      </x:c>
      <x:c r="T11" s="34" t="str">
        <x:v>Hentikan bila mainan rusak atau bayi batuk/tersedak.</x:v>
      </x:c>
      <x:c r="U11" s="34" t="str">
        <x:v>Prematur: sesuaikan sensori.</x:v>
      </x:c>
      <x:c r="V11" s="34" t="str">
        <x:v>SRC_WHO_CCD_6_9; SRC_UNICEF_9M</x:v>
      </x:c>
      <x:c r="W11" s="34" t="str">
        <x:v>WHO/UNICEF menekankan eksplorasi aman melalui melihat, menyentuh, memegang, dan memanipulasi.</x:v>
      </x:c>
      <x:c r="X11" s="34" t="str">
        <x:v>source_checked</x:v>
      </x:c>
      <x:c r="Y11" s="34" t="str"/>
      <x:c r="Z11" s="34" t="str"/>
      <x:c r="AA11" s="34" t="str">
        <x:v>v0.3</x:v>
      </x:c>
    </x:row>
    <x:row r="12">
      <x:c r="A12" s="34" t="str">
        <x:v>ACT073</x:v>
      </x:c>
      <x:c r="B12" s="34" t="str">
        <x:v>Tarik Kain dari Wadah Terbuka</x:v>
      </x:c>
      <x:c r="C12" s="34" t="str">
        <x:v>8–9 bulan</x:v>
      </x:c>
      <x:c r="D12" s="34" t="n">
        <x:v>241</x:v>
      </x:c>
      <x:c r="E12" s="34" t="n">
        <x:v>300</x:v>
      </x:c>
      <x:c r="F12" s="34" t="n">
        <x:v>8</x:v>
      </x:c>
      <x:c r="G12" s="34" t="n">
        <x:v>9</x:v>
      </x:c>
      <x:c r="H12" s="34" t="str">
        <x:v>Tangan &amp; Koordinasi</x:v>
      </x:c>
      <x:c r="I12" s="34" t="str">
        <x:v>Berpikir &amp; Eksplorasi</x:v>
      </x:c>
      <x:c r="J12" s="34" t="str">
        <x:v>koordinasi</x:v>
      </x:c>
      <x:c r="K12" s="34" t="n">
        <x:v>5</x:v>
      </x:c>
      <x:c r="L12" s="34" t="str">
        <x:v>Wadah terbuka; kain besar bersih tanpa tali</x:v>
      </x:c>
      <x:c r="M12" s="34" t="str">
        <x:v>Memberi kesempatan melatih genggaman, menarik, dan koordinasi dua tangan sambil melihat benda muncul dari wadah.</x:v>
      </x:c>
      <x:c r="N12" s="34" t="str">
        <x:v>Aktivitas ini memadukan manipulasi tangan dan eksplorasi sederhana tanpa menggunakan benda kecil.</x:v>
      </x:c>
      <x:c r="O12" s="34" t="str">
        <x:v>1) Masukkan sebagian kain besar ke wadah dengan ujung terlihat. 2) Tunjukkan ujung kain. 3) Biarkan bayi menarik keluar.</x:v>
      </x:c>
      <x:c r="P12" s="34" t="str">
        <x:v>Meraih ujung kain; menarik; menggunakan dua tangan; melihat isi wadah.</x:v>
      </x:c>
      <x:c r="Q12" s="34" t="str">
        <x:v>Biarkan sebagian besar kain berada di luar.</x:v>
      </x:c>
      <x:c r="R12" s="34" t="str">
        <x:v>Masukkan sedikit lebih banyak, tetap mudah terlihat.</x:v>
      </x:c>
      <x:c r="S12" s="34" t="str">
        <x:v>Kain harus besar dan selalu diawasi; jangan gunakan tali/pita; jangan biarkan kain menutup wajah.</x:v>
      </x:c>
      <x:c r="T12" s="34" t="str">
        <x:v>Hentikan bila kain mendekati jalan napas atau bayi tidak nyaman.</x:v>
      </x:c>
      <x:c r="U12" s="34" t="str">
        <x:v>Prematur: sesuaikan kesulitan.</x:v>
      </x:c>
      <x:c r="V12" s="34" t="str">
        <x:v>SRC_WHO_CCD_6_9; SRC_UNICEF_9M</x:v>
      </x:c>
      <x:c r="W12" s="34" t="str">
        <x:v>Turunan konservatif dari permainan manipulasi benda/wadah dan pencarian visual.</x:v>
      </x:c>
      <x:c r="X12" s="34" t="str">
        <x:v>source_checked</x:v>
      </x:c>
      <x:c r="Y12" s="34" t="str"/>
      <x:c r="Z12" s="34" t="str"/>
      <x:c r="AA12" s="34" t="str">
        <x:v>v0.3</x:v>
      </x:c>
    </x:row>
    <x:row r="13">
      <x:c r="A13" s="34" t="str">
        <x:v>ACT074</x:v>
      </x:c>
      <x:c r="B13" s="34" t="str">
        <x:v>Ambil Blok Besar Satu per Satu</x:v>
      </x:c>
      <x:c r="C13" s="34" t="str">
        <x:v>8–9 bulan</x:v>
      </x:c>
      <x:c r="D13" s="34" t="n">
        <x:v>241</x:v>
      </x:c>
      <x:c r="E13" s="34" t="n">
        <x:v>300</x:v>
      </x:c>
      <x:c r="F13" s="34" t="n">
        <x:v>8</x:v>
      </x:c>
      <x:c r="G13" s="34" t="n">
        <x:v>9</x:v>
      </x:c>
      <x:c r="H13" s="34" t="str">
        <x:v>Tangan &amp; Koordinasi</x:v>
      </x:c>
      <x:c r="I13" s="34" t="str">
        <x:v>Berpikir &amp; Eksplorasi</x:v>
      </x:c>
      <x:c r="J13" s="34" t="str">
        <x:v>koordinasi</x:v>
      </x:c>
      <x:c r="K13" s="34" t="n">
        <x:v>5</x:v>
      </x:c>
      <x:c r="L13" s="34" t="str">
        <x:v>Wadah dangkal; 3 blok besar</x:v>
      </x:c>
      <x:c r="M13" s="34" t="str">
        <x:v>Memberi kesempatan melatih pengambilan benda berulang, pelepasan, dan koordinasi mata-tangan.</x:v>
      </x:c>
      <x:c r="N13" s="34" t="str">
        <x:v>Pengulangan mengambil benda dari wadah memberi latihan manipulasi tanpa benda kecil.</x:v>
      </x:c>
      <x:c r="O13" s="34" t="str">
        <x:v>1) Letakkan 2–3 blok besar di wadah dangkal. 2) Tunjukkan satu blok. 3) Biarkan bayi mengambil dan mengeksplorasi satu per satu.</x:v>
      </x:c>
      <x:c r="P13" s="34" t="str">
        <x:v>Meraih; menggenggam; mengangkat; melepas; berganti tangan.</x:v>
      </x:c>
      <x:c r="Q13" s="34" t="str">
        <x:v>Satu blok saja.</x:v>
      </x:c>
      <x:c r="R13" s="34" t="str">
        <x:v>Tiga blok dengan bentuk besar berbeda.</x:v>
      </x:c>
      <x:c r="S13" s="34" t="str">
        <x:v>Blok terlalu besar untuk tertelan; wadah stabil, tanpa tepi tajam.</x:v>
      </x:c>
      <x:c r="T13" s="34" t="str">
        <x:v>Hentikan bila benda retak atau bayi lelah.</x:v>
      </x:c>
      <x:c r="U13" s="34" t="str">
        <x:v>Prematur: gunakan wadah sangat dangkal.</x:v>
      </x:c>
      <x:c r="V13" s="34" t="str">
        <x:v>SRC_CDC_9M_2026; SRC_WHO_CCD_6_9</x:v>
      </x:c>
      <x:c r="W13" s="34" t="str">
        <x:v>Mendukung hand manipulation dan safe exploration pada usia ini.</x:v>
      </x:c>
      <x:c r="X13" s="34" t="str">
        <x:v>source_checked</x:v>
      </x:c>
      <x:c r="Y13" s="34" t="str"/>
      <x:c r="Z13" s="34" t="str"/>
      <x:c r="AA13" s="34" t="str">
        <x:v>v0.3</x:v>
      </x:c>
    </x:row>
    <x:row r="14">
      <x:c r="A14" s="34" t="str">
        <x:v>ACT075</x:v>
      </x:c>
      <x:c r="B14" s="34" t="str">
        <x:v>Babble Bergantian</x:v>
      </x:c>
      <x:c r="C14" s="34" t="str">
        <x:v>7–9 bulan</x:v>
      </x:c>
      <x:c r="D14" s="34" t="n">
        <x:v>211</x:v>
      </x:c>
      <x:c r="E14" s="34" t="n">
        <x:v>300</x:v>
      </x:c>
      <x:c r="F14" s="34" t="n">
        <x:v>7</x:v>
      </x:c>
      <x:c r="G14" s="34" t="n">
        <x:v>9</x:v>
      </x:c>
      <x:c r="H14" s="34" t="str">
        <x:v>Bahasa &amp; Komunikasi</x:v>
      </x:c>
      <x:c r="I14" s="34" t="str">
        <x:v>Sosial &amp; Emosi</x:v>
      </x:c>
      <x:c r="J14" s="34" t="str">
        <x:v>komunikasi</x:v>
      </x:c>
      <x:c r="K14" s="34" t="n">
        <x:v>5</x:v>
      </x:c>
      <x:c r="L14" s="34" t="str">
        <x:v>Tidak perlu alat</x:v>
      </x:c>
      <x:c r="M14" s="34" t="str">
        <x:v>Memberi kesempatan mengalami pola percakapan dua arah melalui bunyi, ekspresi, dan jeda.</x:v>
      </x:c>
      <x:c r="N14" s="34" t="str">
        <x:v>Babbling dan turn-taking merupakan bentuk komunikasi awal yang dapat diperkuat dengan respons caregiver.</x:v>
      </x:c>
      <x:c r="O14" s="34" t="str">
        <x:v>1) Dengarkan suara bayi. 2) Tiru sebagian bunyinya. 3) Jeda 3–5 detik. 4) Balas lagi jika bayi melanjutkan.</x:v>
      </x:c>
      <x:c r="P14" s="34" t="str">
        <x:v>Babbling; suara berulang; menatap caregiver; tersenyum; jeda bergantian.</x:v>
      </x:c>
      <x:c r="Q14" s="34" t="str">
        <x:v>Balas satu bunyi saja.</x:v>
      </x:c>
      <x:c r="R14" s="34" t="str">
        <x:v>Tambahkan variasi sederhana seperti 'ba-ba' setelah bayi memulai.</x:v>
      </x:c>
      <x:c r="S14" s="34" t="str">
        <x:v>Volume lembut; jangan memaksa pengucapan tertentu.</x:v>
      </x:c>
      <x:c r="T14" s="34" t="str">
        <x:v>Hentikan bila bayi lelah atau memalingkan diri.</x:v>
      </x:c>
      <x:c r="U14" s="34" t="str">
        <x:v>Prematur: ikuti cue.</x:v>
      </x:c>
      <x:c r="V14" s="34" t="str">
        <x:v>SRC_CDC_9M_2026; SRC_UNICEF_9M; SRC_WHO_CCD_6_9</x:v>
      </x:c>
      <x:c r="W14" s="34" t="str">
        <x:v>CDC 9 bulan mencakup repeated babbling; UNICEF/CCD mendukung imitation dan responsive communication.</x:v>
      </x:c>
      <x:c r="X14" s="34" t="str">
        <x:v>source_checked</x:v>
      </x:c>
      <x:c r="Y14" s="34" t="str"/>
      <x:c r="Z14" s="34" t="str"/>
      <x:c r="AA14" s="34" t="str">
        <x:v>v0.3</x:v>
      </x:c>
    </x:row>
    <x:row r="15">
      <x:c r="A15" s="34" t="str">
        <x:v>ACT076</x:v>
      </x:c>
      <x:c r="B15" s="34" t="str">
        <x:v>Sebutkan Benda yang Sedang Diperhatikan</x:v>
      </x:c>
      <x:c r="C15" s="34" t="str">
        <x:v>7–9 bulan</x:v>
      </x:c>
      <x:c r="D15" s="34" t="n">
        <x:v>211</x:v>
      </x:c>
      <x:c r="E15" s="34" t="n">
        <x:v>300</x:v>
      </x:c>
      <x:c r="F15" s="34" t="n">
        <x:v>7</x:v>
      </x:c>
      <x:c r="G15" s="34" t="n">
        <x:v>9</x:v>
      </x:c>
      <x:c r="H15" s="34" t="str">
        <x:v>Bahasa &amp; Komunikasi</x:v>
      </x:c>
      <x:c r="I15" s="34" t="str">
        <x:v>Berpikir &amp; Eksplorasi</x:v>
      </x:c>
      <x:c r="J15" s="34" t="str">
        <x:v>komunikasi</x:v>
      </x:c>
      <x:c r="K15" s="34" t="n">
        <x:v>5</x:v>
      </x:c>
      <x:c r="L15" s="34" t="str">
        <x:v>Benda sehari-hari aman</x:v>
      </x:c>
      <x:c r="M15" s="34" t="str">
        <x:v>Menghubungkan perhatian Si Kecil pada benda nyata dengan kata sederhana yang diucapkan caregiver.</x:v>
      </x:c>
      <x:c r="N15" s="34" t="str">
        <x:v>Mengikuti minat bayi dan menamai objek membuat bahasa hadir dalam konteks yang sedang diperhatikan anak.</x:v>
      </x:c>
      <x:c r="O15" s="34" t="str">
        <x:v>1) Perhatikan benda yang dilihat/dipegang bayi. 2) Sebut namanya dengan kalimat pendek: 'Ini bola.' 3) Jeda dan ikuti respons.</x:v>
      </x:c>
      <x:c r="P15" s="34" t="str">
        <x:v>Melihat benda lalu caregiver; bersuara; menyentuh/menunjuk arah benda.</x:v>
      </x:c>
      <x:c r="Q15" s="34" t="str">
        <x:v>Sebut satu kata.</x:v>
      </x:c>
      <x:c r="R15" s="34" t="str">
        <x:v>Tambahkan satu sifat sederhana seperti 'bola merah'.</x:v>
      </x:c>
      <x:c r="S15" s="34" t="str">
        <x:v>Pastikan benda aman; jangan memaksa bayi mengulang kata.</x:v>
      </x:c>
      <x:c r="T15" s="34" t="str">
        <x:v>Hentikan jika bayi kehilangan minat.</x:v>
      </x:c>
      <x:c r="U15" s="34" t="str">
        <x:v>Prematur: sama, mengikuti minat.</x:v>
      </x:c>
      <x:c r="V15" s="34" t="str">
        <x:v>SRC_UNICEF_9M; SRC_WHO_CCD_6_9</x:v>
      </x:c>
      <x:c r="W15" s="34" t="str">
        <x:v>UNICEF menyarankan menamai benda yang diperhatikan bayi; responsive caregiving mengikuti minat anak.</x:v>
      </x:c>
      <x:c r="X15" s="34" t="str">
        <x:v>source_checked</x:v>
      </x:c>
      <x:c r="Y15" s="34" t="str"/>
      <x:c r="Z15" s="34" t="str"/>
      <x:c r="AA15" s="34" t="str">
        <x:v>v0.3</x:v>
      </x:c>
    </x:row>
    <x:row r="16">
      <x:c r="A16" s="34" t="str">
        <x:v>ACT077</x:v>
      </x:c>
      <x:c r="B16" s="34" t="str">
        <x:v>Gesture 'Mau Digendong?'</x:v>
      </x:c>
      <x:c r="C16" s="34" t="str">
        <x:v>7–9 bulan</x:v>
      </x:c>
      <x:c r="D16" s="34" t="n">
        <x:v>211</x:v>
      </x:c>
      <x:c r="E16" s="34" t="n">
        <x:v>300</x:v>
      </x:c>
      <x:c r="F16" s="34" t="n">
        <x:v>7</x:v>
      </x:c>
      <x:c r="G16" s="34" t="n">
        <x:v>9</x:v>
      </x:c>
      <x:c r="H16" s="34" t="str">
        <x:v>Bahasa &amp; Komunikasi</x:v>
      </x:c>
      <x:c r="I16" s="34" t="str">
        <x:v>Sosial &amp; Emosi</x:v>
      </x:c>
      <x:c r="J16" s="34" t="str">
        <x:v>gesture</x:v>
      </x:c>
      <x:c r="K16" s="34" t="n">
        <x:v>4</x:v>
      </x:c>
      <x:c r="L16" s="34" t="str">
        <x:v>Tidak perlu alat</x:v>
      </x:c>
      <x:c r="M16" s="34" t="str">
        <x:v>Memberi kesempatan menghubungkan gesture, kata, dan tindakan sosial sederhana.</x:v>
      </x:c>
      <x:c r="N16" s="34" t="str">
        <x:v>Gesture sebelum kata merupakan bagian penting komunikasi awal; caregiver dapat memodelkan tanpa menuntut bayi meniru.</x:v>
      </x:c>
      <x:c r="O16" s="34" t="str">
        <x:v>1) Saat bayi ingin mendekat, buka kedua tangan dan berkata 'Mau digendong?'. 2) Tunggu respons. 3) Jika bayi mengangkat tangan/bergerak mendekat, respons dengan hangat.</x:v>
      </x:c>
      <x:c r="P16" s="34" t="str">
        <x:v>Mengangkat tangan; meraih caregiver; bersuara; menatap.</x:v>
      </x:c>
      <x:c r="Q16" s="34" t="str">
        <x:v>Cukup buka tangan tanpa meminta tiruan.</x:v>
      </x:c>
      <x:c r="R16" s="34" t="str">
        <x:v>Gunakan gesture yang sama secara konsisten pada rutinitas.</x:v>
      </x:c>
      <x:c r="S16" s="34" t="str">
        <x:v>Jangan menahan perhatian atau kasih sayang hanya untuk memancing gesture.</x:v>
      </x:c>
      <x:c r="T16" s="34" t="str">
        <x:v>Hentikan bila bayi distress; respons kebutuhan tetap diprioritaskan.</x:v>
      </x:c>
      <x:c r="U16" s="34" t="str">
        <x:v>Prematur: gunakan sesuai cue.</x:v>
      </x:c>
      <x:c r="V16" s="34" t="str">
        <x:v>SRC_CDC_9M_2026; SRC_WHO_CCD_6_9</x:v>
      </x:c>
      <x:c r="W16" s="34" t="str">
        <x:v>CDC 9 bulan mencantumkan lifts arms to be picked up; digunakan sebagai interaksi, bukan tes.</x:v>
      </x:c>
      <x:c r="X16" s="34" t="str">
        <x:v>source_checked</x:v>
      </x:c>
      <x:c r="Y16" s="34" t="str"/>
      <x:c r="Z16" s="34" t="str"/>
      <x:c r="AA16" s="34" t="str">
        <x:v>v0.3</x:v>
      </x:c>
    </x:row>
    <x:row r="17">
      <x:c r="A17" s="34" t="str">
        <x:v>ACT078</x:v>
      </x:c>
      <x:c r="B17" s="34" t="str">
        <x:v>Lagu dengan Gerakan Tepuk</x:v>
      </x:c>
      <x:c r="C17" s="34" t="str">
        <x:v>7–9 bulan</x:v>
      </x:c>
      <x:c r="D17" s="34" t="n">
        <x:v>211</x:v>
      </x:c>
      <x:c r="E17" s="34" t="n">
        <x:v>300</x:v>
      </x:c>
      <x:c r="F17" s="34" t="n">
        <x:v>7</x:v>
      </x:c>
      <x:c r="G17" s="34" t="n">
        <x:v>9</x:v>
      </x:c>
      <x:c r="H17" s="34" t="str">
        <x:v>Bahasa &amp; Komunikasi</x:v>
      </x:c>
      <x:c r="I17" s="34" t="str">
        <x:v>Sosial &amp; Emosi</x:v>
      </x:c>
      <x:c r="J17" s="34" t="str">
        <x:v>komunikasi</x:v>
      </x:c>
      <x:c r="K17" s="34" t="n">
        <x:v>5</x:v>
      </x:c>
      <x:c r="L17" s="34" t="str">
        <x:v>Tidak perlu alat</x:v>
      </x:c>
      <x:c r="M17" s="34" t="str">
        <x:v>Memberi pengalaman ritme, kata berulang, gesture, dan imitasi dalam permainan sosial.</x:v>
      </x:c>
      <x:c r="N17" s="34" t="str">
        <x:v>Lagu dan gesture sederhana menggabungkan komunikasi, perhatian, dan interaksi bergantian.</x:v>
      </x:c>
      <x:c r="O17" s="34" t="str">
        <x:v>1) Nyanyikan lagu pendek. 2) Tepuk tangan sendiri perlahan pada bagian tertentu. 3) Beri waktu bayi melihat atau mencoba gerakan.</x:v>
      </x:c>
      <x:c r="P17" s="34" t="str">
        <x:v>Melihat tangan caregiver; tersenyum; menggerakkan tangan; membuat suara.</x:v>
      </x:c>
      <x:c r="Q17" s="34" t="str">
        <x:v>Lagu tanpa gerakan.</x:v>
      </x:c>
      <x:c r="R17" s="34" t="str">
        <x:v>Tambahkan satu gesture lain seperti dadah.</x:v>
      </x:c>
      <x:c r="S17" s="34" t="str">
        <x:v>Jangan memegang tangan bayi untuk menepuk paksa.</x:v>
      </x:c>
      <x:c r="T17" s="34" t="str">
        <x:v>Hentikan bila overstimulated.</x:v>
      </x:c>
      <x:c r="U17" s="34" t="str">
        <x:v>Prematur: durasi singkat.</x:v>
      </x:c>
      <x:c r="V17" s="34" t="str">
        <x:v>SRC_UNICEF_9M; SRC_WHO_CCD_6_9</x:v>
      </x:c>
      <x:c r="W17" s="34" t="str">
        <x:v>UNICEF menyebut copying movements/sounds; CCD menggunakan play/communication imitation.</x:v>
      </x:c>
      <x:c r="X17" s="34" t="str">
        <x:v>source_checked</x:v>
      </x:c>
      <x:c r="Y17" s="34" t="str"/>
      <x:c r="Z17" s="34" t="str"/>
      <x:c r="AA17" s="34" t="str">
        <x:v>v0.3</x:v>
      </x:c>
    </x:row>
    <x:row r="18">
      <x:c r="A18" s="34" t="str">
        <x:v>ACT079</x:v>
      </x:c>
      <x:c r="B18" s="34" t="str">
        <x:v>Buku Gambar: Lihat dan Nama</x:v>
      </x:c>
      <x:c r="C18" s="34" t="str">
        <x:v>8–9 bulan</x:v>
      </x:c>
      <x:c r="D18" s="34" t="n">
        <x:v>241</x:v>
      </x:c>
      <x:c r="E18" s="34" t="n">
        <x:v>300</x:v>
      </x:c>
      <x:c r="F18" s="34" t="n">
        <x:v>8</x:v>
      </x:c>
      <x:c r="G18" s="34" t="n">
        <x:v>9</x:v>
      </x:c>
      <x:c r="H18" s="34" t="str">
        <x:v>Bahasa &amp; Komunikasi</x:v>
      </x:c>
      <x:c r="I18" s="34" t="str">
        <x:v>Berpikir &amp; Eksplorasi</x:v>
      </x:c>
      <x:c r="J18" s="34" t="str">
        <x:v>komunikasi</x:v>
      </x:c>
      <x:c r="K18" s="34" t="n">
        <x:v>6</x:v>
      </x:c>
      <x:c r="L18" s="34" t="str">
        <x:v>Board book kokoh dengan gambar besar</x:v>
      </x:c>
      <x:c r="M18" s="34" t="str">
        <x:v>Memberi kesempatan berbagi perhatian pada gambar sambil mendengar nama benda atau orang.</x:v>
      </x:c>
      <x:c r="N18" s="34" t="str">
        <x:v>Buku bergambar memberi konteks visual untuk percakapan singkat dan mengikuti minat bayi.</x:v>
      </x:c>
      <x:c r="O18" s="34" t="str">
        <x:v>1) Buka satu halaman. 2) Tunggu bayi melihat/menyentuh gambar. 3) Sebut nama gambar yang diminatinya. 4) Jeda.</x:v>
      </x:c>
      <x:c r="P18" s="34" t="str">
        <x:v>Melihat gambar; menyentuh; berganti pandang; bersuara.</x:v>
      </x:c>
      <x:c r="Q18" s="34" t="str">
        <x:v>Satu halaman saja.</x:v>
      </x:c>
      <x:c r="R18" s="34" t="str">
        <x:v>Tawarkan dua gambar dan ikuti mana yang dipilih bayi.</x:v>
      </x:c>
      <x:c r="S18" s="34" t="str">
        <x:v>Board book utuh tanpa bagian kecil; awasi mouthing.</x:v>
      </x:c>
      <x:c r="T18" s="34" t="str">
        <x:v>Hentikan bila buku rusak atau bayi kehilangan minat.</x:v>
      </x:c>
      <x:c r="U18" s="34" t="str">
        <x:v>Prematur: visual sederhana.</x:v>
      </x:c>
      <x:c r="V18" s="34" t="str">
        <x:v>SRC_UNICEF_9M; SRC_CDC_9M_2026</x:v>
      </x:c>
      <x:c r="W18" s="34" t="str">
        <x:v>UNICEF menyarankan board books/pictures dan naming objects yang menarik minat bayi.</x:v>
      </x:c>
      <x:c r="X18" s="34" t="str">
        <x:v>source_checked</x:v>
      </x:c>
      <x:c r="Y18" s="34" t="str"/>
      <x:c r="Z18" s="34" t="str"/>
      <x:c r="AA18" s="34" t="str">
        <x:v>v0.3</x:v>
      </x:c>
    </x:row>
    <x:row r="19">
      <x:c r="A19" s="34" t="str">
        <x:v>ACT080</x:v>
      </x:c>
      <x:c r="B19" s="34" t="str">
        <x:v>Tiru Bunyi Sederhana</x:v>
      </x:c>
      <x:c r="C19" s="34" t="str">
        <x:v>8–9 bulan</x:v>
      </x:c>
      <x:c r="D19" s="34" t="n">
        <x:v>241</x:v>
      </x:c>
      <x:c r="E19" s="34" t="n">
        <x:v>300</x:v>
      </x:c>
      <x:c r="F19" s="34" t="n">
        <x:v>8</x:v>
      </x:c>
      <x:c r="G19" s="34" t="n">
        <x:v>9</x:v>
      </x:c>
      <x:c r="H19" s="34" t="str">
        <x:v>Bahasa &amp; Komunikasi</x:v>
      </x:c>
      <x:c r="I19" s="34" t="str">
        <x:v>Sosial &amp; Emosi</x:v>
      </x:c>
      <x:c r="J19" s="34" t="str">
        <x:v>komunikasi</x:v>
      </x:c>
      <x:c r="K19" s="34" t="n">
        <x:v>5</x:v>
      </x:c>
      <x:c r="L19" s="34" t="str">
        <x:v>Tidak perlu alat</x:v>
      </x:c>
      <x:c r="M19" s="34" t="str">
        <x:v>Memberi kesempatan bereksperimen dengan variasi suara dan pola imitasi dua arah.</x:v>
      </x:c>
      <x:c r="N19" s="34" t="str">
        <x:v>Imitasi suara pada usia ini sebaiknya tetap berupa permainan, bukan latihan pengucapan.</x:v>
      </x:c>
      <x:c r="O19" s="34" t="str">
        <x:v>1) Setelah bayi bersuara, tiru. 2) Tambahkan bunyi sederhana seperti 'ba' atau 'ma'. 3) Jeda dan lihat apakah bayi merespons.</x:v>
      </x:c>
      <x:c r="P19" s="34" t="str">
        <x:v>Babbling; perubahan intonasi; mencoba bunyi mirip; tersenyum.</x:v>
      </x:c>
      <x:c r="Q19" s="34" t="str">
        <x:v>Hanya tiru suara bayi.</x:v>
      </x:c>
      <x:c r="R19" s="34" t="str">
        <x:v>Tambahkan satu bunyi baru.</x:v>
      </x:c>
      <x:c r="S19" s="34" t="str">
        <x:v>Jangan mengulang terus sampai bayi frustrasi.</x:v>
      </x:c>
      <x:c r="T19" s="34" t="str">
        <x:v>Hentikan bila lelah/tidak tertarik.</x:v>
      </x:c>
      <x:c r="U19" s="34" t="str">
        <x:v>Prematur: ikuti cue.</x:v>
      </x:c>
      <x:c r="V19" s="34" t="str">
        <x:v>SRC_CDC_9M_2026; SRC_UNICEF_9M</x:v>
      </x:c>
      <x:c r="W19" s="34" t="str">
        <x:v>CDC/UNICEF mendukung babbling dan copying sounds.</x:v>
      </x:c>
      <x:c r="X19" s="34" t="str">
        <x:v>source_checked</x:v>
      </x:c>
      <x:c r="Y19" s="34" t="str"/>
      <x:c r="Z19" s="34" t="str"/>
      <x:c r="AA19" s="34" t="str">
        <x:v>v0.3</x:v>
      </x:c>
    </x:row>
    <x:row r="20">
      <x:c r="A20" s="34" t="str">
        <x:v>ACT081</x:v>
      </x:c>
      <x:c r="B20" s="34" t="str">
        <x:v>Cilukba dengan Tangan</x:v>
      </x:c>
      <x:c r="C20" s="34" t="str">
        <x:v>7–9 bulan</x:v>
      </x:c>
      <x:c r="D20" s="34" t="n">
        <x:v>211</x:v>
      </x:c>
      <x:c r="E20" s="34" t="n">
        <x:v>300</x:v>
      </x:c>
      <x:c r="F20" s="34" t="n">
        <x:v>7</x:v>
      </x:c>
      <x:c r="G20" s="34" t="n">
        <x:v>9</x:v>
      </x:c>
      <x:c r="H20" s="34" t="str">
        <x:v>Sosial &amp; Emosi</x:v>
      </x:c>
      <x:c r="I20" s="34" t="str">
        <x:v>Berpikir &amp; Eksplorasi</x:v>
      </x:c>
      <x:c r="J20" s="34" t="str">
        <x:v>sosial</x:v>
      </x:c>
      <x:c r="K20" s="34" t="n">
        <x:v>5</x:v>
      </x:c>
      <x:c r="L20" s="34" t="str">
        <x:v>Tidak perlu alat</x:v>
      </x:c>
      <x:c r="M20" s="34" t="str">
        <x:v>Memberi kesempatan menikmati permainan sosial berulang dan mengantisipasi kemunculan wajah caregiver.</x:v>
      </x:c>
      <x:c r="N20" s="34" t="str">
        <x:v>Peek-a-boo umum digunakan sebagai permainan sosial pada sekitar usia ini.</x:v>
      </x:c>
      <x:c r="O20" s="34" t="str">
        <x:v>1) Tatap dan senyum. 2) Tutup wajah caregiver dengan tangan sesaat. 3) Buka sambil berkata 'cilukba'. 4) Jeda untuk respons.</x:v>
      </x:c>
      <x:c r="P20" s="34" t="str">
        <x:v>Senyum; tertawa; menatap; mengantisipasi; mencoba ikut menutup wajah.</x:v>
      </x:c>
      <x:c r="Q20" s="34" t="str">
        <x:v>Tutup sebagian wajah.</x:v>
      </x:c>
      <x:c r="R20" s="34" t="str">
        <x:v>Ulangi 2–3 kali bila bayi menikmati.</x:v>
      </x:c>
      <x:c r="S20" s="34" t="str">
        <x:v>Jangan menutup wajah bayi dengan kain; jangan mengejutkan keras.</x:v>
      </x:c>
      <x:c r="T20" s="34" t="str">
        <x:v>Hentikan bila bayi takut/tidak nyaman.</x:v>
      </x:c>
      <x:c r="U20" s="34" t="str">
        <x:v>Prematur: mulai sangat singkat.</x:v>
      </x:c>
      <x:c r="V20" s="34" t="str">
        <x:v>SRC_CDC_9M_2026; SRC_UNICEF_9M</x:v>
      </x:c>
      <x:c r="W20" s="34" t="str">
        <x:v>CDC 9 bulan mencantumkan smiles/laughs during peek-a-boo; UNICEF menyebut permainan ini populer pada usia 9 bulan.</x:v>
      </x:c>
      <x:c r="X20" s="34" t="str">
        <x:v>source_checked</x:v>
      </x:c>
      <x:c r="Y20" s="34" t="str"/>
      <x:c r="Z20" s="34" t="str"/>
      <x:c r="AA20" s="34" t="str">
        <x:v>v0.3</x:v>
      </x:c>
    </x:row>
    <x:row r="21">
      <x:c r="A21" s="34" t="str">
        <x:v>ACT082</x:v>
      </x:c>
      <x:c r="B21" s="34" t="str">
        <x:v>Gelindingkan Bola Bergantian</x:v>
      </x:c>
      <x:c r="C21" s="34" t="str">
        <x:v>7–9 bulan</x:v>
      </x:c>
      <x:c r="D21" s="34" t="n">
        <x:v>211</x:v>
      </x:c>
      <x:c r="E21" s="34" t="n">
        <x:v>300</x:v>
      </x:c>
      <x:c r="F21" s="34" t="n">
        <x:v>7</x:v>
      </x:c>
      <x:c r="G21" s="34" t="n">
        <x:v>9</x:v>
      </x:c>
      <x:c r="H21" s="34" t="str">
        <x:v>Sosial &amp; Emosi</x:v>
      </x:c>
      <x:c r="I21" s="34" t="str">
        <x:v>Tangan &amp; Koordinasi</x:v>
      </x:c>
      <x:c r="J21" s="34" t="str">
        <x:v>sosial</x:v>
      </x:c>
      <x:c r="K21" s="34" t="n">
        <x:v>6</x:v>
      </x:c>
      <x:c r="L21" s="34" t="str">
        <x:v>Bola besar ringan</x:v>
      </x:c>
      <x:c r="M21" s="34" t="str">
        <x:v>Memberi kesempatan mengalami giliran sederhana dalam permainan bersama caregiver.</x:v>
      </x:c>
      <x:c r="N21" s="34" t="str">
        <x:v>Turn-taking dapat dilatih melalui permainan benda tanpa menuntut bayi mengembalikan bola dengan sempurna.</x:v>
      </x:c>
      <x:c r="O21" s="34" t="str">
        <x:v>1) Duduk berhadapan di lantai. 2) Gelindingkan bola perlahan ke bayi. 3) Bila bayi menyentuh/mendorong, respons dan gelindingkan lagi.</x:v>
      </x:c>
      <x:c r="P21" s="34" t="str">
        <x:v>Menunggu bola; menyentuh/mendorong; melihat caregiver; tersenyum.</x:v>
      </x:c>
      <x:c r="Q21" s="34" t="str">
        <x:v>Caregiver gelindingkan dan ambil kembali sendiri.</x:v>
      </x:c>
      <x:c r="R21" s="34" t="str">
        <x:v>Biarkan bayi mendorong ke arah mana pun.</x:v>
      </x:c>
      <x:c r="S21" s="34" t="str">
        <x:v>Bola harus besar, ringan, tidak mudah pecah; main di lantai.</x:v>
      </x:c>
      <x:c r="T21" s="34" t="str">
        <x:v>Hentikan bila bola keluar ke area tidak aman.</x:v>
      </x:c>
      <x:c r="U21" s="34" t="str">
        <x:v>Prematur: jarak dekat.</x:v>
      </x:c>
      <x:c r="V21" s="34" t="str">
        <x:v>SRC_WHO_CCD_6_9; SRC_UNICEF_9M</x:v>
      </x:c>
      <x:c r="W21" s="34" t="str">
        <x:v>Selaras dengan responsive turn-taking dan play interaction.</x:v>
      </x:c>
      <x:c r="X21" s="34" t="str">
        <x:v>source_checked</x:v>
      </x:c>
      <x:c r="Y21" s="34" t="str"/>
      <x:c r="Z21" s="34" t="str"/>
      <x:c r="AA21" s="34" t="str">
        <x:v>v0.3</x:v>
      </x:c>
    </x:row>
    <x:row r="22">
      <x:c r="A22" s="34" t="str">
        <x:v>ACT083</x:v>
      </x:c>
      <x:c r="B22" s="34" t="str">
        <x:v>Cermin: Tirukan Ekspresi</x:v>
      </x:c>
      <x:c r="C22" s="34" t="str">
        <x:v>7–9 bulan</x:v>
      </x:c>
      <x:c r="D22" s="34" t="n">
        <x:v>211</x:v>
      </x:c>
      <x:c r="E22" s="34" t="n">
        <x:v>300</x:v>
      </x:c>
      <x:c r="F22" s="34" t="n">
        <x:v>7</x:v>
      </x:c>
      <x:c r="G22" s="34" t="n">
        <x:v>9</x:v>
      </x:c>
      <x:c r="H22" s="34" t="str">
        <x:v>Sosial &amp; Emosi</x:v>
      </x:c>
      <x:c r="I22" s="34" t="str">
        <x:v>Bahasa &amp; Komunikasi</x:v>
      </x:c>
      <x:c r="J22" s="34" t="str">
        <x:v>sosial</x:v>
      </x:c>
      <x:c r="K22" s="34" t="n">
        <x:v>5</x:v>
      </x:c>
      <x:c r="L22" s="34" t="str">
        <x:v>Cermin bayi tidak pecah</x:v>
      </x:c>
      <x:c r="M22" s="34" t="str">
        <x:v>Memberi kesempatan memperhatikan wajah, ekspresi, dan respons caregiver dalam interaksi bersama.</x:v>
      </x:c>
      <x:c r="N22" s="34" t="str">
        <x:v>Permainan ekspresi membantu caregiver mengikuti dan menanggapi sinyal sosial bayi.</x:v>
      </x:c>
      <x:c r="O22" s="34" t="str">
        <x:v>1) Duduk bersama di depan cermin aman. 2) Tiru ekspresi bayi. 3) Sebut sederhana 'senyum', 'wah'. 4) Jeda.</x:v>
      </x:c>
      <x:c r="P22" s="34" t="str">
        <x:v>Menatap refleksi; tersenyum; ekspresi berubah; melihat caregiver.</x:v>
      </x:c>
      <x:c r="Q22" s="34" t="str">
        <x:v>Hanya melihat cermin.</x:v>
      </x:c>
      <x:c r="R22" s="34" t="str">
        <x:v>Tambahkan satu ekspresi sederhana.</x:v>
      </x:c>
      <x:c r="S22" s="34" t="str">
        <x:v>Cermin harus aman, stabil, tidak pecah.</x:v>
      </x:c>
      <x:c r="T22" s="34" t="str">
        <x:v>Hentikan bila bayi tidak nyaman atau cermin tidak stabil.</x:v>
      </x:c>
      <x:c r="U22" s="34" t="str">
        <x:v>Prematur: sesuai toleransi.</x:v>
      </x:c>
      <x:c r="V22" s="34" t="str">
        <x:v>SRC_CDC_9M_2026; SRC_UNICEF_9M</x:v>
      </x:c>
      <x:c r="W22" s="34" t="str">
        <x:v>CDC mencatat beberapa facial expressions; aktivitas tetap permainan, bukan tes emosi.</x:v>
      </x:c>
      <x:c r="X22" s="34" t="str">
        <x:v>source_checked</x:v>
      </x:c>
      <x:c r="Y22" s="34" t="str"/>
      <x:c r="Z22" s="34" t="str"/>
      <x:c r="AA22" s="34" t="str">
        <x:v>v0.3</x:v>
      </x:c>
    </x:row>
    <x:row r="23">
      <x:c r="A23" s="34" t="str">
        <x:v>ACT084</x:v>
      </x:c>
      <x:c r="B23" s="34" t="str">
        <x:v>Tepuk Bersama Tanpa Memaksa</x:v>
      </x:c>
      <x:c r="C23" s="34" t="str">
        <x:v>7–9 bulan</x:v>
      </x:c>
      <x:c r="D23" s="34" t="n">
        <x:v>211</x:v>
      </x:c>
      <x:c r="E23" s="34" t="n">
        <x:v>300</x:v>
      </x:c>
      <x:c r="F23" s="34" t="n">
        <x:v>7</x:v>
      </x:c>
      <x:c r="G23" s="34" t="n">
        <x:v>9</x:v>
      </x:c>
      <x:c r="H23" s="34" t="str">
        <x:v>Sosial &amp; Emosi</x:v>
      </x:c>
      <x:c r="I23" s="34" t="str">
        <x:v>Bahasa &amp; Komunikasi</x:v>
      </x:c>
      <x:c r="J23" s="34" t="str">
        <x:v>sosial</x:v>
      </x:c>
      <x:c r="K23" s="34" t="n">
        <x:v>4</x:v>
      </x:c>
      <x:c r="L23" s="34" t="str">
        <x:v>Tidak perlu alat</x:v>
      </x:c>
      <x:c r="M23" s="34" t="str">
        <x:v>Memberi kesempatan melihat, meniru, dan berbagi kegembiraan melalui gesture sederhana.</x:v>
      </x:c>
      <x:c r="N23" s="34" t="str">
        <x:v>Imitasi gerakan dapat berkembang melalui observasi dan pengulangan dalam suasana bermain.</x:v>
      </x:c>
      <x:c r="O23" s="34" t="str">
        <x:v>1) Tepuk tangan caregiver sambil tersenyum. 2) Jeda. 3) Jika bayi menggerakkan tangan, respons positif tanpa memegang tangannya untuk memaksa.</x:v>
      </x:c>
      <x:c r="P23" s="34" t="str">
        <x:v>Melihat tangan; menggerakkan tangan; mencoba tepuk; tersenyum.</x:v>
      </x:c>
      <x:c r="Q23" s="34" t="str">
        <x:v>Hanya caregiver yang tepuk.</x:v>
      </x:c>
      <x:c r="R23" s="34" t="str">
        <x:v>Gabungkan dengan lagu pendek.</x:v>
      </x:c>
      <x:c r="S23" s="34" t="str">
        <x:v>Jangan memaksa kedua tangan bayi bertemu.</x:v>
      </x:c>
      <x:c r="T23" s="34" t="str">
        <x:v>Hentikan bila bayi menolak/tidak nyaman.</x:v>
      </x:c>
      <x:c r="U23" s="34" t="str">
        <x:v>Prematur: ikuti cue.</x:v>
      </x:c>
      <x:c r="V23" s="34" t="str">
        <x:v>SRC_UNICEF_9M; SRC_WHO_CCD_6_9</x:v>
      </x:c>
      <x:c r="W23" s="34" t="str">
        <x:v>UNICEF mencatat mulai meniru gerakan; CCD mendorong imitation play.</x:v>
      </x:c>
      <x:c r="X23" s="34" t="str">
        <x:v>source_checked</x:v>
      </x:c>
      <x:c r="Y23" s="34" t="str"/>
      <x:c r="Z23" s="34" t="str"/>
      <x:c r="AA23" s="34" t="str">
        <x:v>v0.3</x:v>
      </x:c>
    </x:row>
    <x:row r="24">
      <x:c r="A24" s="34" t="str">
        <x:v>ACT085</x:v>
      </x:c>
      <x:c r="B24" s="34" t="str">
        <x:v>Kenalan dengan Foto Orang Familiar</x:v>
      </x:c>
      <x:c r="C24" s="34" t="str">
        <x:v>8–9 bulan</x:v>
      </x:c>
      <x:c r="D24" s="34" t="n">
        <x:v>241</x:v>
      </x:c>
      <x:c r="E24" s="34" t="n">
        <x:v>300</x:v>
      </x:c>
      <x:c r="F24" s="34" t="n">
        <x:v>8</x:v>
      </x:c>
      <x:c r="G24" s="34" t="n">
        <x:v>9</x:v>
      </x:c>
      <x:c r="H24" s="34" t="str">
        <x:v>Sosial &amp; Emosi</x:v>
      </x:c>
      <x:c r="I24" s="34" t="str">
        <x:v>Bahasa &amp; Komunikasi</x:v>
      </x:c>
      <x:c r="J24" s="34" t="str">
        <x:v>sosial</x:v>
      </x:c>
      <x:c r="K24" s="34" t="n">
        <x:v>5</x:v>
      </x:c>
      <x:c r="L24" s="34" t="str">
        <x:v>Foto besar sederhana atau album kokoh</x:v>
      </x:c>
      <x:c r="M24" s="34" t="str">
        <x:v>Memberi kesempatan menghubungkan wajah familiar dengan nama dan percakapan caregiver.</x:v>
      </x:c>
      <x:c r="N24" s="34" t="str">
        <x:v>Respons pada orang familiar berkembang pada usia ini; foto digunakan sebagai bahan komunikasi, bukan tes pengenalan.</x:v>
      </x:c>
      <x:c r="O24" s="34" t="str">
        <x:v>1) Tunjukkan satu foto. 2) Sebut nama orang secara sederhana. 3) Ceritakan satu kalimat. 4) Amati respons.</x:v>
      </x:c>
      <x:c r="P24" s="34" t="str">
        <x:v>Menatap foto; menyentuh; melihat caregiver; bersuara.</x:v>
      </x:c>
      <x:c r="Q24" s="34" t="str">
        <x:v>Gunakan foto caregiver utama.</x:v>
      </x:c>
      <x:c r="R24" s="34" t="str">
        <x:v>Tambahkan foto anggota keluarga lain satu per satu.</x:v>
      </x:c>
      <x:c r="S24" s="34" t="str">
        <x:v>Foto/album tidak memiliki bagian kecil/tajam; awasi mouthing.</x:v>
      </x:c>
      <x:c r="T24" s="34" t="str">
        <x:v>Hentikan bila bayi kehilangan minat.</x:v>
      </x:c>
      <x:c r="U24" s="34" t="str">
        <x:v>Prematur: sama.</x:v>
      </x:c>
      <x:c r="V24" s="34" t="str">
        <x:v>SRC_CDC_9M_2026; SRC_UNICEF_9M</x:v>
      </x:c>
      <x:c r="W24" s="34" t="str">
        <x:v>CDC/UNICEF mencatat familiar people sebagai area sosial sekitar 9 bulan.</x:v>
      </x:c>
      <x:c r="X24" s="34" t="str">
        <x:v>source_checked</x:v>
      </x:c>
      <x:c r="Y24" s="34" t="str"/>
      <x:c r="Z24" s="34" t="str"/>
      <x:c r="AA24" s="34" t="str">
        <x:v>v0.3</x:v>
      </x:c>
    </x:row>
    <x:row r="25">
      <x:c r="A25" s="34" t="str">
        <x:v>ACT086</x:v>
      </x:c>
      <x:c r="B25" s="34" t="str">
        <x:v>Dadah Saat Rutinitas Pergi–Datang</x:v>
      </x:c>
      <x:c r="C25" s="34" t="str">
        <x:v>8–9 bulan</x:v>
      </x:c>
      <x:c r="D25" s="34" t="n">
        <x:v>241</x:v>
      </x:c>
      <x:c r="E25" s="34" t="n">
        <x:v>300</x:v>
      </x:c>
      <x:c r="F25" s="34" t="n">
        <x:v>8</x:v>
      </x:c>
      <x:c r="G25" s="34" t="n">
        <x:v>9</x:v>
      </x:c>
      <x:c r="H25" s="34" t="str">
        <x:v>Sosial &amp; Emosi</x:v>
      </x:c>
      <x:c r="I25" s="34" t="str">
        <x:v>Bahasa &amp; Komunikasi</x:v>
      </x:c>
      <x:c r="J25" s="34" t="str">
        <x:v>sosial</x:v>
      </x:c>
      <x:c r="K25" s="34" t="n">
        <x:v>4</x:v>
      </x:c>
      <x:c r="L25" s="34" t="str">
        <x:v>Tidak perlu alat</x:v>
      </x:c>
      <x:c r="M25" s="34" t="str">
        <x:v>Memberi kesempatan menghubungkan gesture sederhana dengan rutinitas sosial yang nyata.</x:v>
      </x:c>
      <x:c r="N25" s="34" t="str">
        <x:v>Gesture dipelajari paling alami saat digunakan dalam konteks yang konsisten, tanpa membuat bayi sengaja cemas karena perpisahan.</x:v>
      </x:c>
      <x:c r="O25" s="34" t="str">
        <x:v>1) Saat caregiver benar-benar akan berpindah sebentar, ucapkan 'dadah' sambil melambaikan tangan. 2) Saat kembali, sapa hangat. 3) Jangan menjauh hanya untuk menguji reaksi.</x:v>
      </x:c>
      <x:c r="P25" s="34" t="str">
        <x:v>Melihat gesture; menggerakkan tangan; bereaksi saat caregiver pergi/kembali.</x:v>
      </x:c>
      <x:c r="Q25" s="34" t="str">
        <x:v>Gunakan gesture saat caregiver tetap dekat.</x:v>
      </x:c>
      <x:c r="R25" s="34" t="str">
        <x:v>Ulangi pada rutinitas harian yang nyata.</x:v>
      </x:c>
      <x:c r="S25" s="34" t="str">
        <x:v>Jangan memicu separation distress secara sengaja; kebutuhan bayi tetap diprioritaskan.</x:v>
      </x:c>
      <x:c r="T25" s="34" t="str">
        <x:v>Hentikan permainan bila bayi distress; caregiver kembali dan menenangkan.</x:v>
      </x:c>
      <x:c r="U25" s="34" t="str">
        <x:v>Prematur: ikuti cue.</x:v>
      </x:c>
      <x:c r="V25" s="34" t="str">
        <x:v>SRC_CDC_9M_2026; SRC_UNICEF_9M</x:v>
      </x:c>
      <x:c r="W25" s="34" t="str">
        <x:v>CDC mencatat reaction when caregiver leaves; aktivitas dirancang tanpa sengaja menguji separation response.</x:v>
      </x:c>
      <x:c r="X25" s="34" t="str">
        <x:v>source_checked</x:v>
      </x:c>
      <x:c r="Y25" s="34" t="str"/>
      <x:c r="Z25" s="34" t="str"/>
      <x:c r="AA25" s="34" t="str">
        <x:v>v0.3</x:v>
      </x:c>
    </x:row>
    <x:row r="26">
      <x:c r="A26" s="34" t="str">
        <x:v>ACT087</x:v>
      </x:c>
      <x:c r="B26" s="34" t="str">
        <x:v>Cari Mainan yang Tertutup Sebagian</x:v>
      </x:c>
      <x:c r="C26" s="34" t="str">
        <x:v>7–9 bulan</x:v>
      </x:c>
      <x:c r="D26" s="34" t="n">
        <x:v>211</x:v>
      </x:c>
      <x:c r="E26" s="34" t="n">
        <x:v>300</x:v>
      </x:c>
      <x:c r="F26" s="34" t="n">
        <x:v>7</x:v>
      </x:c>
      <x:c r="G26" s="34" t="n">
        <x:v>9</x:v>
      </x:c>
      <x:c r="H26" s="34" t="str">
        <x:v>Berpikir &amp; Eksplorasi</x:v>
      </x:c>
      <x:c r="I26" s="34" t="str">
        <x:v>Tangan &amp; Koordinasi</x:v>
      </x:c>
      <x:c r="J26" s="34" t="str">
        <x:v>eksplorasi</x:v>
      </x:c>
      <x:c r="K26" s="34" t="n">
        <x:v>5</x:v>
      </x:c>
      <x:c r="L26" s="34" t="str">
        <x:v>Mainan besar; kain besar yang dipegang caregiver</x:v>
      </x:c>
      <x:c r="M26" s="34" t="str">
        <x:v>Memberi kesempatan mempertahankan perhatian dan mencari benda ketika sebagian pandangannya tertutup.</x:v>
      </x:c>
      <x:c r="N26" s="34" t="str">
        <x:v>Permainan pencarian sederhana sesuai dengan meningkatnya minat terhadap benda yang tersembunyi.</x:v>
      </x:c>
      <x:c r="O26" s="34" t="str">
        <x:v>1) Tunjukkan mainan. 2) Tutup sebagian dengan kain, sisakan bagian terlihat. 3) Tunggu bayi meraih mainan/kain.</x:v>
      </x:c>
      <x:c r="P26" s="34" t="str">
        <x:v>Menatap bagian terlihat; menarik kain; meraih mainan; tetap mencari.</x:v>
      </x:c>
      <x:c r="Q26" s="34" t="str">
        <x:v>Tutup hanya sedikit.</x:v>
      </x:c>
      <x:c r="R26" s="34" t="str">
        <x:v>Tutup lebih banyak tetapi tetap mudah ditemukan.</x:v>
      </x:c>
      <x:c r="S26" s="34" t="str">
        <x:v>Kain selalu dipegang caregiver; jangan menutup wajah; mainan besar.</x:v>
      </x:c>
      <x:c r="T26" s="34" t="str">
        <x:v>Hentikan bila kain mendekati jalan napas atau bayi frustrasi.</x:v>
      </x:c>
      <x:c r="U26" s="34" t="str">
        <x:v>Prematur: sesuaikan kesulitan.</x:v>
      </x:c>
      <x:c r="V26" s="34" t="str">
        <x:v>SRC_CDC_9M_2026; SRC_UNICEF_9M</x:v>
      </x:c>
      <x:c r="W26" s="34" t="str">
        <x:v>CDC 9 bulan mencakup looking for objects out of sight; aktivitas dibuat bertahap dan non-testing.</x:v>
      </x:c>
      <x:c r="X26" s="34" t="str">
        <x:v>source_checked</x:v>
      </x:c>
      <x:c r="Y26" s="34" t="str"/>
      <x:c r="Z26" s="34" t="str"/>
      <x:c r="AA26" s="34" t="str">
        <x:v>v0.3</x:v>
      </x:c>
    </x:row>
    <x:row r="27">
      <x:c r="A27" s="34" t="str">
        <x:v>ACT088</x:v>
      </x:c>
      <x:c r="B27" s="34" t="str">
        <x:v>Lihat ke Mana Mainan Jatuh</x:v>
      </x:c>
      <x:c r="C27" s="34" t="str">
        <x:v>7–9 bulan</x:v>
      </x:c>
      <x:c r="D27" s="34" t="n">
        <x:v>211</x:v>
      </x:c>
      <x:c r="E27" s="34" t="n">
        <x:v>300</x:v>
      </x:c>
      <x:c r="F27" s="34" t="n">
        <x:v>7</x:v>
      </x:c>
      <x:c r="G27" s="34" t="n">
        <x:v>9</x:v>
      </x:c>
      <x:c r="H27" s="34" t="str">
        <x:v>Berpikir &amp; Eksplorasi</x:v>
      </x:c>
      <x:c r="I27" s="34" t="str">
        <x:v>Tangan &amp; Koordinasi</x:v>
      </x:c>
      <x:c r="J27" s="34" t="str">
        <x:v>sebab-akibat</x:v>
      </x:c>
      <x:c r="K27" s="34" t="n">
        <x:v>4</x:v>
      </x:c>
      <x:c r="L27" s="34" t="str">
        <x:v>Mainan lunak besar; matras</x:v>
      </x:c>
      <x:c r="M27" s="34" t="str">
        <x:v>Memberi kesempatan mengikuti perpindahan benda dan menghubungkan tindakan melepas dengan lokasi benda setelah jatuh.</x:v>
      </x:c>
      <x:c r="N27" s="34" t="str">
        <x:v>UNICEF mencatat minat mengikuti benda jatuh pada sekitar 9 bulan.</x:v>
      </x:c>
      <x:c r="O27" s="34" t="str">
        <x:v>1) Saat bayi memegang mainan lunak, biarkan ia melepas. 2) Tunjukkan benda di matras: 'jatuh'. 3) Beri kembali bila tertarik.</x:v>
      </x:c>
      <x:c r="P27" s="34" t="str">
        <x:v>Melihat ke bawah; mencari benda; mengulangi melepas; meraih kembali.</x:v>
      </x:c>
      <x:c r="Q27" s="34" t="str">
        <x:v>Caregiver menjatuhkan sekali.</x:v>
      </x:c>
      <x:c r="R27" s="34" t="str">
        <x:v>Biarkan bayi mengulang sendiri.</x:v>
      </x:c>
      <x:c r="S27" s="34" t="str">
        <x:v>Hanya di lantai/matras; mainan lunak besar; bukan dari kursi tinggi.</x:v>
      </x:c>
      <x:c r="T27" s="34" t="str">
        <x:v>Hentikan bila benda masuk area tidak aman.</x:v>
      </x:c>
      <x:c r="U27" s="34" t="str">
        <x:v>Prematur: sesuaikan.</x:v>
      </x:c>
      <x:c r="V27" s="34" t="str">
        <x:v>SRC_UNICEF_9M; SRC_CDC_9M_2026</x:v>
      </x:c>
      <x:c r="W27" s="34" t="str">
        <x:v>UNICEF 9 bulan menyebut following falling objects; CDC juga menekankan search/exploration.</x:v>
      </x:c>
      <x:c r="X27" s="34" t="str">
        <x:v>source_checked</x:v>
      </x:c>
      <x:c r="Y27" s="34" t="str"/>
      <x:c r="Z27" s="34" t="str"/>
      <x:c r="AA27" s="34" t="str">
        <x:v>v0.3</x:v>
      </x:c>
    </x:row>
    <x:row r="28">
      <x:c r="A28" s="34" t="str">
        <x:v>ACT089</x:v>
      </x:c>
      <x:c r="B28" s="34" t="str">
        <x:v>Beda Bunyi dari Dua Benda</x:v>
      </x:c>
      <x:c r="C28" s="34" t="str">
        <x:v>7–9 bulan</x:v>
      </x:c>
      <x:c r="D28" s="34" t="n">
        <x:v>211</x:v>
      </x:c>
      <x:c r="E28" s="34" t="n">
        <x:v>300</x:v>
      </x:c>
      <x:c r="F28" s="34" t="n">
        <x:v>7</x:v>
      </x:c>
      <x:c r="G28" s="34" t="n">
        <x:v>9</x:v>
      </x:c>
      <x:c r="H28" s="34" t="str">
        <x:v>Berpikir &amp; Eksplorasi</x:v>
      </x:c>
      <x:c r="I28" s="34" t="str">
        <x:v>Tangan &amp; Koordinasi</x:v>
      </x:c>
      <x:c r="J28" s="34" t="str">
        <x:v>sebab-akibat</x:v>
      </x:c>
      <x:c r="K28" s="34" t="n">
        <x:v>5</x:v>
      </x:c>
      <x:c r="L28" s="34" t="str">
        <x:v>Dua benda besar aman dengan bunyi berbeda saat diketuk</x:v>
      </x:c>
      <x:c r="M28" s="34" t="str">
        <x:v>Memberi kesempatan membandingkan hasil sederhana dari tindakan yang sama pada benda berbeda.</x:v>
      </x:c>
      <x:c r="N28" s="34" t="str">
        <x:v>Eksplorasi bunyi dan pengulangan membantu bayi memperhatikan hubungan antara tindakan dan akibat.</x:v>
      </x:c>
      <x:c r="O28" s="34" t="str">
        <x:v>1) Berikan benda A dan contohkan ketukan lembut. 2) Setelah bayi eksplorasi, ganti benda B. 3) Biarkan bayi mendengar perbedaannya.</x:v>
      </x:c>
      <x:c r="P28" s="34" t="str">
        <x:v>Mengetuk; mengulang; melihat benda; bereaksi pada bunyi.</x:v>
      </x:c>
      <x:c r="Q28" s="34" t="str">
        <x:v>Satu benda saja.</x:v>
      </x:c>
      <x:c r="R28" s="34" t="str">
        <x:v>Dua benda berbeda bahan yang aman.</x:v>
      </x:c>
      <x:c r="S28" s="34" t="str">
        <x:v>Benda harus ringan, tidak pecah, tidak tajam; volume bunyi lembut.</x:v>
      </x:c>
      <x:c r="T28" s="34" t="str">
        <x:v>Hentikan jika bunyi terlalu keras atau benda rusak.</x:v>
      </x:c>
      <x:c r="U28" s="34" t="str">
        <x:v>Prematur: satu stimulus per waktu.</x:v>
      </x:c>
      <x:c r="V28" s="34" t="str">
        <x:v>SRC_WHO_CCD_6_9; SRC_CDC_9M_2026</x:v>
      </x:c>
      <x:c r="W28" s="34" t="str">
        <x:v>Selaras dengan banging objects dan cause-effect exploration.</x:v>
      </x:c>
      <x:c r="X28" s="34" t="str">
        <x:v>source_checked</x:v>
      </x:c>
      <x:c r="Y28" s="34" t="str"/>
      <x:c r="Z28" s="34" t="str"/>
      <x:c r="AA28" s="34" t="str">
        <x:v>v0.3</x:v>
      </x:c>
    </x:row>
    <x:row r="29">
      <x:c r="A29" s="34" t="str">
        <x:v>ACT090</x:v>
      </x:c>
      <x:c r="B29" s="34" t="str">
        <x:v>Temukan Mainan di Wadah Terbuka</x:v>
      </x:c>
      <x:c r="C29" s="34" t="str">
        <x:v>8–9 bulan</x:v>
      </x:c>
      <x:c r="D29" s="34" t="n">
        <x:v>241</x:v>
      </x:c>
      <x:c r="E29" s="34" t="n">
        <x:v>300</x:v>
      </x:c>
      <x:c r="F29" s="34" t="n">
        <x:v>8</x:v>
      </x:c>
      <x:c r="G29" s="34" t="n">
        <x:v>9</x:v>
      </x:c>
      <x:c r="H29" s="34" t="str">
        <x:v>Berpikir &amp; Eksplorasi</x:v>
      </x:c>
      <x:c r="I29" s="34" t="str">
        <x:v>Tangan &amp; Koordinasi</x:v>
      </x:c>
      <x:c r="J29" s="34" t="str">
        <x:v>eksplorasi</x:v>
      </x:c>
      <x:c r="K29" s="34" t="n">
        <x:v>5</x:v>
      </x:c>
      <x:c r="L29" s="34" t="str">
        <x:v>Wadah lebar dangkal; satu mainan besar</x:v>
      </x:c>
      <x:c r="M29" s="34" t="str">
        <x:v>Memberi kesempatan mencari, meraih, dan mengeluarkan benda dari ruang yang terlihat.</x:v>
      </x:c>
      <x:c r="N29" s="34" t="str">
        <x:v>Aktivitas ini memperkaya eksplorasi hubungan benda-wadah tanpa membuat tes problem-solving formal.</x:v>
      </x:c>
      <x:c r="O29" s="34" t="str">
        <x:v>1) Letakkan mainan di wadah terbuka sehingga terlihat. 2) Tunjukkan sekali. 3) Biarkan bayi meraih dan mengeluarkan.</x:v>
      </x:c>
      <x:c r="P29" s="34" t="str">
        <x:v>Melihat ke dalam; meraih; menarik benda; membalik wadah.</x:v>
      </x:c>
      <x:c r="Q29" s="34" t="str">
        <x:v>Mainan sebagian keluar dari wadah.</x:v>
      </x:c>
      <x:c r="R29" s="34" t="str">
        <x:v>Letakkan dua benda besar.</x:v>
      </x:c>
      <x:c r="S29" s="34" t="str">
        <x:v>Wadah tidak boleh cukup besar untuk menutup kepala; tanpa tepi tajam; benda besar.</x:v>
      </x:c>
      <x:c r="T29" s="34" t="str">
        <x:v>Hentikan bila wadah rusak/tidak stabil.</x:v>
      </x:c>
      <x:c r="U29" s="34" t="str">
        <x:v>Prematur: gunakan wadah sangat dangkal.</x:v>
      </x:c>
      <x:c r="V29" s="34" t="str">
        <x:v>SRC_WHO_CCD_6_9; SRC_UNICEF_9M</x:v>
      </x:c>
      <x:c r="W29" s="34" t="str">
        <x:v>Safe container exploration mendukung manipulasi dan pencarian sederhana.</x:v>
      </x:c>
      <x:c r="X29" s="34" t="str">
        <x:v>source_checked</x:v>
      </x:c>
      <x:c r="Y29" s="34" t="str"/>
      <x:c r="Z29" s="34" t="str"/>
      <x:c r="AA29" s="34" t="str">
        <x:v>v0.3</x:v>
      </x:c>
    </x:row>
    <x:row r="30">
      <x:c r="A30" s="34" t="str">
        <x:v>ACT091</x:v>
      </x:c>
      <x:c r="B30" s="34" t="str">
        <x:v>Cari Mainan di Bawah Kain</x:v>
      </x:c>
      <x:c r="C30" s="34" t="str">
        <x:v>8–9 bulan</x:v>
      </x:c>
      <x:c r="D30" s="34" t="n">
        <x:v>241</x:v>
      </x:c>
      <x:c r="E30" s="34" t="n">
        <x:v>300</x:v>
      </x:c>
      <x:c r="F30" s="34" t="n">
        <x:v>8</x:v>
      </x:c>
      <x:c r="G30" s="34" t="n">
        <x:v>9</x:v>
      </x:c>
      <x:c r="H30" s="34" t="str">
        <x:v>Berpikir &amp; Eksplorasi</x:v>
      </x:c>
      <x:c r="I30" s="34" t="str">
        <x:v>Tangan &amp; Koordinasi</x:v>
      </x:c>
      <x:c r="J30" s="34" t="str">
        <x:v>eksplorasi</x:v>
      </x:c>
      <x:c r="K30" s="34" t="n">
        <x:v>5</x:v>
      </x:c>
      <x:c r="L30" s="34" t="str">
        <x:v>Mainan besar favorit; kain besar yang dipegang caregiver</x:v>
      </x:c>
      <x:c r="M30" s="34" t="str">
        <x:v>Memberi kesempatan mencari benda yang baru saja terlihat tetapi kemudian tertutup.</x:v>
      </x:c>
      <x:c r="N30" s="34" t="str">
        <x:v>Pada sekitar 9 bulan, permainan mencari benda tersembunyi menjadi semakin menarik.</x:v>
      </x:c>
      <x:c r="O30" s="34" t="str">
        <x:v>1) Tunjukkan mainan. 2) Tutup sebentar dengan kain. 3) Biarkan bayi menarik kain/mencari. 4) Bantu sedikit bila frustrasi.</x:v>
      </x:c>
      <x:c r="P30" s="34" t="str">
        <x:v>Menarik kain; mencari; menemukan; tersenyum/bersuara.</x:v>
      </x:c>
      <x:c r="Q30" s="34" t="str">
        <x:v>Sisakan bagian mainan terlihat.</x:v>
      </x:c>
      <x:c r="R30" s="34" t="str">
        <x:v>Tutup penuh hanya sesaat setelah bayi memahami permainan.</x:v>
      </x:c>
      <x:c r="S30" s="34" t="str">
        <x:v>Kain selalu diawasi/dipegang; jangan menutup wajah bayi; mainan besar.</x:v>
      </x:c>
      <x:c r="T30" s="34" t="str">
        <x:v>Hentikan bila kain menuju wajah atau bayi distress.</x:v>
      </x:c>
      <x:c r="U30" s="34" t="str">
        <x:v>Prematur: mulai dari partial cover.</x:v>
      </x:c>
      <x:c r="V30" s="34" t="str">
        <x:v>SRC_CDC_9M_2026; SRC_UNICEF_9M</x:v>
      </x:c>
      <x:c r="W30" s="34" t="str">
        <x:v>CDC 9 bulan mencakup looks for objects when dropped/out of sight; UNICEF menyebut searching for hidden objects.</x:v>
      </x:c>
      <x:c r="X30" s="34" t="str">
        <x:v>source_checked</x:v>
      </x:c>
      <x:c r="Y30" s="34" t="str"/>
      <x:c r="Z30" s="34" t="str"/>
      <x:c r="AA30" s="34" t="str">
        <x:v>v0.3</x:v>
      </x:c>
    </x:row>
    <x:row r="31">
      <x:c r="A31" s="34" t="str">
        <x:v>ACT092</x:v>
      </x:c>
      <x:c r="B31" s="34" t="str">
        <x:v>Mainan Sebab–Akibat Sederhana</x:v>
      </x:c>
      <x:c r="C31" s="34" t="str">
        <x:v>8–9 bulan</x:v>
      </x:c>
      <x:c r="D31" s="34" t="n">
        <x:v>241</x:v>
      </x:c>
      <x:c r="E31" s="34" t="n">
        <x:v>300</x:v>
      </x:c>
      <x:c r="F31" s="34" t="n">
        <x:v>8</x:v>
      </x:c>
      <x:c r="G31" s="34" t="n">
        <x:v>9</x:v>
      </x:c>
      <x:c r="H31" s="34" t="str">
        <x:v>Berpikir &amp; Eksplorasi</x:v>
      </x:c>
      <x:c r="I31" s="34" t="str">
        <x:v>Tangan &amp; Koordinasi</x:v>
      </x:c>
      <x:c r="J31" s="34" t="str">
        <x:v>sebab-akibat</x:v>
      </x:c>
      <x:c r="K31" s="34" t="n">
        <x:v>6</x:v>
      </x:c>
      <x:c r="L31" s="34" t="str">
        <x:v>Mainan besar dengan tombol/tuas sederhana tanpa bagian kecil</x:v>
      </x:c>
      <x:c r="M31" s="34" t="str">
        <x:v>Memberi kesempatan mengulang tindakan sederhana dan memperhatikan hasil seperti bunyi atau gerakan.</x:v>
      </x:c>
      <x:c r="N31" s="34" t="str">
        <x:v>Pengulangan tindakan dan hasil mendukung eksplorasi sebab-akibat awal, selama mainan tetap sederhana dan aman.</x:v>
      </x:c>
      <x:c r="O31" s="34" t="str">
        <x:v>1) Tunjukkan sekali cara menekan bagian sederhana. 2) Berikan mainan. 3) Biarkan bayi menekan, memukul, atau mengeksplorasi sendiri.</x:v>
      </x:c>
      <x:c r="P31" s="34" t="str">
        <x:v>Menekan/menyentuh; memperhatikan hasil; mengulang tindakan.</x:v>
      </x:c>
      <x:c r="Q31" s="34" t="str">
        <x:v>Caregiver aktifkan sekali dan bayi melihat.</x:v>
      </x:c>
      <x:c r="R31" s="34" t="str">
        <x:v>Biarkan bayi memilih bagian yang ingin disentuh.</x:v>
      </x:c>
      <x:c r="S31" s="34" t="str">
        <x:v>Mainan utuh; baterai tertutup dengan sekrup; tidak ada bagian kecil/tali; volume tidak keras.</x:v>
      </x:c>
      <x:c r="T31" s="34" t="str">
        <x:v>Hentikan bila penutup baterai longgar atau mainan rusak.</x:v>
      </x:c>
      <x:c r="U31" s="34" t="str">
        <x:v>Prematur: pilih mainan dengan stimulus rendah.</x:v>
      </x:c>
      <x:c r="V31" s="34" t="str">
        <x:v>SRC_WHO_CCD_6_9; SRC_AAP_MOVEMENT_8_12</x:v>
      </x:c>
      <x:c r="W31" s="34" t="str">
        <x:v>Turunan konservatif dari exploratory play; safety baterai/parts dibuat eksplisit.</x:v>
      </x:c>
      <x:c r="X31" s="34" t="str">
        <x:v>source_checked</x:v>
      </x:c>
      <x:c r="Y31" s="34" t="str"/>
      <x:c r="Z31" s="34" t="str"/>
      <x:c r="AA31" s="34" t="str">
        <x:v>v0.3</x:v>
      </x:c>
    </x:row>
  </x:sheetData>
  <x:dataValidations count="1">
    <x:dataValidation type="list" sqref="X2:X31">
      <x:formula1>"draft,source_checked,clinical_review,approved"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16bf1f1b4254ea0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8" hidden="0" customWidth="1"/>
    <x:col min="3" max="3" width="22" hidden="0" customWidth="1"/>
    <x:col min="4" max="4" width="14" hidden="0" customWidth="1"/>
    <x:col min="5" max="5" width="14" hidden="0" customWidth="1"/>
    <x:col min="6" max="6" width="25" hidden="0" customWidth="1"/>
    <x:col min="7" max="7" width="70" hidden="0" customWidth="1"/>
    <x:col min="8" max="8" width="48" hidden="0" customWidth="1"/>
    <x:col min="9" max="9" width="68" hidden="0" customWidth="1"/>
    <x:col min="10" max="10" width="18" hidden="0" customWidth="1"/>
  </x:cols>
  <x:sheetData>
    <x:row r="1">
      <x:c r="A1" s="52" t="str">
        <x:v>skill_id</x:v>
      </x:c>
      <x:c r="B1" s="52" t="str">
        <x:v>label</x:v>
      </x:c>
      <x:c r="C1" s="52" t="str">
        <x:v>domain</x:v>
      </x:c>
      <x:c r="D1" s="52" t="str">
        <x:v>min_age_days</x:v>
      </x:c>
      <x:c r="E1" s="52" t="str">
        <x:v>max_age_days</x:v>
      </x:c>
      <x:c r="F1" s="52" t="str">
        <x:v>observation_type</x:v>
      </x:c>
      <x:c r="G1" s="52" t="str">
        <x:v>description</x:v>
      </x:c>
      <x:c r="H1" s="52" t="str">
        <x:v>source_refs</x:v>
      </x:c>
      <x:c r="I1" s="52" t="str">
        <x:v>guardrail_note</x:v>
      </x:c>
      <x:c r="J1" s="52" t="str">
        <x:v>review_status</x:v>
      </x:c>
    </x:row>
    <x:row r="2">
      <x:c r="A2" s="34" t="str">
        <x:v>SK064</x:v>
      </x:c>
      <x:c r="B2" s="34" t="str">
        <x:v>Bermain permainan sosial seperti pat-a-cake</x:v>
      </x:c>
      <x:c r="C2" s="34" t="str">
        <x:v>Sosial &amp; Emosi</x:v>
      </x:c>
      <x:c r="D2" s="34" t="n">
        <x:v>301</x:v>
      </x:c>
      <x:c r="E2" s="34" t="n">
        <x:v>390</x:v>
      </x:c>
      <x:c r="F2" s="34" t="str">
        <x:v>milestone/observation</x:v>
      </x:c>
      <x:c r="G2" s="34" t="str">
        <x:v>Si Kecil ikut menikmati atau berpartisipasi dalam permainan sosial sederhana bersama caregiver.</x:v>
      </x:c>
      <x:c r="H2" s="34" t="str">
        <x:v>SRC_CDC_1Y_2026; SRC_AAP_DEV_12M</x:v>
      </x:c>
      <x:c r="I2" s="34" t="str">
        <x:v>Partisipasi bisa berupa melihat, tersenyum, bergerak, atau mencoba meniru; bukan tes tunggal.</x:v>
      </x:c>
      <x:c r="J2" s="34" t="str">
        <x:v>source_checked</x:v>
      </x:c>
    </x:row>
    <x:row r="3">
      <x:c r="A3" s="34" t="str">
        <x:v>SK065</x:v>
      </x:c>
      <x:c r="B3" s="34" t="str">
        <x:v>Meniru gesture sederhana</x:v>
      </x:c>
      <x:c r="C3" s="34" t="str">
        <x:v>Sosial &amp; Emosi</x:v>
      </x:c>
      <x:c r="D3" s="34" t="n">
        <x:v>301</x:v>
      </x:c>
      <x:c r="E3" s="34" t="n">
        <x:v>390</x:v>
      </x:c>
      <x:c r="F3" s="34" t="str">
        <x:v>developmental observation</x:v>
      </x:c>
      <x:c r="G3" s="34" t="str">
        <x:v>Si Kecil mencoba meniru gesture seperti tepuk, dadah, atau gerakan tangan sederhana.</x:v>
      </x:c>
      <x:c r="H3" s="34" t="str">
        <x:v>SRC_WHO_CCD_9_12; SRC_AAP_DEV_12M</x:v>
      </x:c>
      <x:c r="I3" s="34" t="str">
        <x:v>Jangan memegang tangan anak untuk memaksa imitasi.</x:v>
      </x:c>
      <x:c r="J3" s="34" t="str">
        <x:v>source_checked</x:v>
      </x:c>
    </x:row>
    <x:row r="4">
      <x:c r="A4" s="34" t="str">
        <x:v>SK066</x:v>
      </x:c>
      <x:c r="B4" s="34" t="str">
        <x:v>Menunjukkan preferensi pada orang familiar</x:v>
      </x:c>
      <x:c r="C4" s="34" t="str">
        <x:v>Sosial &amp; Emosi</x:v>
      </x:c>
      <x:c r="D4" s="34" t="n">
        <x:v>301</x:v>
      </x:c>
      <x:c r="E4" s="34" t="n">
        <x:v>390</x:v>
      </x:c>
      <x:c r="F4" s="34" t="str">
        <x:v>developmental observation</x:v>
      </x:c>
      <x:c r="G4" s="34" t="str">
        <x:v>Si Kecil menunjukkan perhatian, kenyamanan, atau respons khusus pada caregiver/orang familiar.</x:v>
      </x:c>
      <x:c r="H4" s="34" t="str">
        <x:v>SRC_AAP_DEV_12M</x:v>
      </x:c>
      <x:c r="I4" s="34" t="str">
        <x:v>Respons terhadap orang asing sangat bervariasi dan bukan ukuran kualitas attachment.</x:v>
      </x:c>
      <x:c r="J4" s="34" t="str">
        <x:v>source_checked</x:v>
      </x:c>
    </x:row>
    <x:row r="5">
      <x:c r="A5" s="34" t="str">
        <x:v>SK067</x:v>
      </x:c>
      <x:c r="B5" s="34" t="str">
        <x:v>Berpartisipasi dalam permainan beri-terima</x:v>
      </x:c>
      <x:c r="C5" s="34" t="str">
        <x:v>Sosial &amp; Emosi</x:v>
      </x:c>
      <x:c r="D5" s="34" t="n">
        <x:v>301</x:v>
      </x:c>
      <x:c r="E5" s="34" t="n">
        <x:v>390</x:v>
      </x:c>
      <x:c r="F5" s="34" t="str">
        <x:v>activity observation</x:v>
      </x:c>
      <x:c r="G5" s="34" t="str">
        <x:v>Si Kecil memberi, menerima, atau mengembalikan benda dalam permainan bergantian sederhana.</x:v>
      </x:c>
      <x:c r="H5" s="34" t="str">
        <x:v>SRC_WHO_CCD_9_12; SRC_UNICEF_CCD</x:v>
      </x:c>
      <x:c r="I5" s="34" t="str">
        <x:v>Tidak harus mengembalikan benda setiap kali.</x:v>
      </x:c>
      <x:c r="J5" s="34" t="str">
        <x:v>source_checked</x:v>
      </x:c>
    </x:row>
    <x:row r="6">
      <x:c r="A6" s="34" t="str">
        <x:v>SK068</x:v>
      </x:c>
      <x:c r="B6" s="34" t="str">
        <x:v>Melambaikan tangan 'dadah'</x:v>
      </x:c>
      <x:c r="C6" s="34" t="str">
        <x:v>Bahasa &amp; Komunikasi</x:v>
      </x:c>
      <x:c r="D6" s="34" t="n">
        <x:v>331</x:v>
      </x:c>
      <x:c r="E6" s="34" t="n">
        <x:v>390</x:v>
      </x:c>
      <x:c r="F6" s="34" t="str">
        <x:v>milestone/observation</x:v>
      </x:c>
      <x:c r="G6" s="34" t="str">
        <x:v>Si Kecil menggunakan atau mencoba gesture melambaikan tangan untuk 'dadah'.</x:v>
      </x:c>
      <x:c r="H6" s="34" t="str">
        <x:v>SRC_CDC_1Y_2026; SRC_WHO_CCD_9_12</x:v>
      </x:c>
      <x:c r="I6" s="34" t="str">
        <x:v>Modelkan dalam rutinitas nyata; jangan jadikan tes berulang.</x:v>
      </x:c>
      <x:c r="J6" s="34" t="str">
        <x:v>source_checked</x:v>
      </x:c>
    </x:row>
    <x:row r="7">
      <x:c r="A7" s="34" t="str">
        <x:v>SK069</x:v>
      </x:c>
      <x:c r="B7" s="34" t="str">
        <x:v>Menggunakan nama khusus untuk caregiver seperti mama/dada</x:v>
      </x:c>
      <x:c r="C7" s="34" t="str">
        <x:v>Bahasa &amp; Komunikasi</x:v>
      </x:c>
      <x:c r="D7" s="34" t="n">
        <x:v>331</x:v>
      </x:c>
      <x:c r="E7" s="34" t="n">
        <x:v>390</x:v>
      </x:c>
      <x:c r="F7" s="34" t="str">
        <x:v>milestone/observation</x:v>
      </x:c>
      <x:c r="G7" s="34" t="str">
        <x:v>Si Kecil menggunakan bunyi/kata khusus untuk memanggil caregiver, seperti mama/dada atau nama khusus keluarga.</x:v>
      </x:c>
      <x:c r="H7" s="34" t="str">
        <x:v>SRC_CDC_1Y_2026; SRC_AAP_DEV_12M</x:v>
      </x:c>
      <x:c r="I7" s="34" t="str">
        <x:v>Variasi bahasa keluarga diperbolehkan; tidak menuntut satu kata tertentu.</x:v>
      </x:c>
      <x:c r="J7" s="34" t="str">
        <x:v>source_checked</x:v>
      </x:c>
    </x:row>
    <x:row r="8">
      <x:c r="A8" s="34" t="str">
        <x:v>SK070</x:v>
      </x:c>
      <x:c r="B8" s="34" t="str">
        <x:v>Memahami 'tidak' dalam konteks</x:v>
      </x:c>
      <x:c r="C8" s="34" t="str">
        <x:v>Bahasa &amp; Komunikasi</x:v>
      </x:c>
      <x:c r="D8" s="34" t="n">
        <x:v>331</x:v>
      </x:c>
      <x:c r="E8" s="34" t="n">
        <x:v>390</x:v>
      </x:c>
      <x:c r="F8" s="34" t="str">
        <x:v>milestone/observation</x:v>
      </x:c>
      <x:c r="G8" s="34" t="str">
        <x:v>Si Kecil berhenti sejenak atau mengubah tindakan ketika caregiver mengatakan 'tidak' dalam konteks sederhana.</x:v>
      </x:c>
      <x:c r="H8" s="34" t="str">
        <x:v>SRC_CDC_1Y_2026</x:v>
      </x:c>
      <x:c r="I8" s="34" t="str">
        <x:v>Tidak digunakan sebagai latihan kepatuhan; gunakan bahasa keselamatan dengan tenang.</x:v>
      </x:c>
      <x:c r="J8" s="34" t="str">
        <x:v>source_checked</x:v>
      </x:c>
    </x:row>
    <x:row r="9">
      <x:c r="A9" s="34" t="str">
        <x:v>SK071</x:v>
      </x:c>
      <x:c r="B9" s="34" t="str">
        <x:v>Mengikuti permintaan sederhana dengan gesture/konteks</x:v>
      </x:c>
      <x:c r="C9" s="34" t="str">
        <x:v>Bahasa &amp; Komunikasi</x:v>
      </x:c>
      <x:c r="D9" s="34" t="n">
        <x:v>331</x:v>
      </x:c>
      <x:c r="E9" s="34" t="n">
        <x:v>390</x:v>
      </x:c>
      <x:c r="F9" s="34" t="str">
        <x:v>developmental observation</x:v>
      </x:c>
      <x:c r="G9" s="34" t="str">
        <x:v>Si Kecil merespons permintaan sederhana seperti 'beri bola' terutama bila dibantu gesture dan konteks.</x:v>
      </x:c>
      <x:c r="H9" s="34" t="str">
        <x:v>SRC_AAP_DEV_12M</x:v>
      </x:c>
      <x:c r="I9" s="34" t="str">
        <x:v>Bukan tes pemahaman formal; jangan mengulang memaksa.</x:v>
      </x:c>
      <x:c r="J9" s="34" t="str">
        <x:v>source_checked</x:v>
      </x:c>
    </x:row>
    <x:row r="10">
      <x:c r="A10" s="34" t="str">
        <x:v>SK072</x:v>
      </x:c>
      <x:c r="B10" s="34" t="str">
        <x:v>Menggunakan babbling dengan intonasi bervariasi</x:v>
      </x:c>
      <x:c r="C10" s="34" t="str">
        <x:v>Bahasa &amp; Komunikasi</x:v>
      </x:c>
      <x:c r="D10" s="34" t="n">
        <x:v>301</x:v>
      </x:c>
      <x:c r="E10" s="34" t="n">
        <x:v>390</x:v>
      </x:c>
      <x:c r="F10" s="34" t="str">
        <x:v>developmental observation</x:v>
      </x:c>
      <x:c r="G10" s="34" t="str">
        <x:v>Si Kecil menggunakan rangkaian suara dengan ritme atau intonasi yang menyerupai percakapan.</x:v>
      </x:c>
      <x:c r="H10" s="34" t="str">
        <x:v>SRC_AAP_DEV_12M; SRC_CDC_1Y_2026</x:v>
      </x:c>
      <x:c r="I10" s="34" t="str">
        <x:v>Tidak harus berupa kata bermakna.</x:v>
      </x:c>
      <x:c r="J10" s="34" t="str">
        <x:v>source_checked</x:v>
      </x:c>
    </x:row>
    <x:row r="11">
      <x:c r="A11" s="34" t="str">
        <x:v>SK073</x:v>
      </x:c>
      <x:c r="B11" s="34" t="str">
        <x:v>Memperhatikan nama benda/orang yang familiar</x:v>
      </x:c>
      <x:c r="C11" s="34" t="str">
        <x:v>Bahasa &amp; Komunikasi</x:v>
      </x:c>
      <x:c r="D11" s="34" t="n">
        <x:v>301</x:v>
      </x:c>
      <x:c r="E11" s="34" t="n">
        <x:v>390</x:v>
      </x:c>
      <x:c r="F11" s="34" t="str">
        <x:v>activity observation</x:v>
      </x:c>
      <x:c r="G11" s="34" t="str">
        <x:v>Si Kecil melihat benda/orang yang dimaksud ketika caregiver menamainya dalam konteks sehari-hari.</x:v>
      </x:c>
      <x:c r="H11" s="34" t="str">
        <x:v>SRC_WHO_CCD_9_12</x:v>
      </x:c>
      <x:c r="I11" s="34" t="str">
        <x:v>Paparan bahasa, bukan tes kosakata.</x:v>
      </x:c>
      <x:c r="J11" s="34" t="str">
        <x:v>source_checked</x:v>
      </x:c>
    </x:row>
    <x:row r="12">
      <x:c r="A12" s="34" t="str">
        <x:v>SK074</x:v>
      </x:c>
      <x:c r="B12" s="34" t="str">
        <x:v>Memasukkan benda ke wadah</x:v>
      </x:c>
      <x:c r="C12" s="34" t="str">
        <x:v>Berpikir &amp; Eksplorasi</x:v>
      </x:c>
      <x:c r="D12" s="34" t="n">
        <x:v>331</x:v>
      </x:c>
      <x:c r="E12" s="34" t="n">
        <x:v>390</x:v>
      </x:c>
      <x:c r="F12" s="34" t="str">
        <x:v>milestone/observation</x:v>
      </x:c>
      <x:c r="G12" s="34" t="str">
        <x:v>Si Kecil memasukkan benda besar ke dalam wadah seperti blok ke cangkir.</x:v>
      </x:c>
      <x:c r="H12" s="34" t="str">
        <x:v>SRC_CDC_1Y_2026; SRC_AAP_DEV_12M</x:v>
      </x:c>
      <x:c r="I12" s="34" t="str">
        <x:v>Gunakan benda besar yang tidak berisiko tertelan.</x:v>
      </x:c>
      <x:c r="J12" s="34" t="str">
        <x:v>source_checked</x:v>
      </x:c>
    </x:row>
    <x:row r="13">
      <x:c r="A13" s="34" t="str">
        <x:v>SK075</x:v>
      </x:c>
      <x:c r="B13" s="34" t="str">
        <x:v>Mencari benda yang dilihat disembunyikan</x:v>
      </x:c>
      <x:c r="C13" s="34" t="str">
        <x:v>Berpikir &amp; Eksplorasi</x:v>
      </x:c>
      <x:c r="D13" s="34" t="n">
        <x:v>301</x:v>
      </x:c>
      <x:c r="E13" s="34" t="n">
        <x:v>390</x:v>
      </x:c>
      <x:c r="F13" s="34" t="str">
        <x:v>milestone/observation</x:v>
      </x:c>
      <x:c r="G13" s="34" t="str">
        <x:v>Si Kecil mencari benda yang baru saja dilihat disembunyikan di bawah kain atau wadah.</x:v>
      </x:c>
      <x:c r="H13" s="34" t="str">
        <x:v>SRC_CDC_1Y_2026; SRC_WHO_CCD_9_12</x:v>
      </x:c>
      <x:c r="I13" s="34" t="str">
        <x:v>Permainan pencarian bukan tes kognitif formal.</x:v>
      </x:c>
      <x:c r="J13" s="34" t="str">
        <x:v>source_checked</x:v>
      </x:c>
    </x:row>
    <x:row r="14">
      <x:c r="A14" s="34" t="str">
        <x:v>SK076</x:v>
      </x:c>
      <x:c r="B14" s="34" t="str">
        <x:v>Mengeksplorasi wadah dengan masuk-keluar benda</x:v>
      </x:c>
      <x:c r="C14" s="34" t="str">
        <x:v>Berpikir &amp; Eksplorasi</x:v>
      </x:c>
      <x:c r="D14" s="34" t="n">
        <x:v>301</x:v>
      </x:c>
      <x:c r="E14" s="34" t="n">
        <x:v>390</x:v>
      </x:c>
      <x:c r="F14" s="34" t="str">
        <x:v>developmental observation</x:v>
      </x:c>
      <x:c r="G14" s="34" t="str">
        <x:v>Si Kecil mengulang memasukkan, mengeluarkan, atau menumpahkan benda dari wadah.</x:v>
      </x:c>
      <x:c r="H14" s="34" t="str">
        <x:v>SRC_WHO_CCD_9_12; SRC_AAP_DEV_12M</x:v>
      </x:c>
      <x:c r="I14" s="34" t="str">
        <x:v>Fokus pada eksplorasi aman, bukan hasil benar/salah.</x:v>
      </x:c>
      <x:c r="J14" s="34" t="str">
        <x:v>source_checked</x:v>
      </x:c>
    </x:row>
    <x:row r="15">
      <x:c r="A15" s="34" t="str">
        <x:v>SK077</x:v>
      </x:c>
      <x:c r="B15" s="34" t="str">
        <x:v>Meniru tindakan sederhana pada benda</x:v>
      </x:c>
      <x:c r="C15" s="34" t="str">
        <x:v>Berpikir &amp; Eksplorasi</x:v>
      </x:c>
      <x:c r="D15" s="34" t="n">
        <x:v>301</x:v>
      </x:c>
      <x:c r="E15" s="34" t="n">
        <x:v>390</x:v>
      </x:c>
      <x:c r="F15" s="34" t="str">
        <x:v>developmental observation</x:v>
      </x:c>
      <x:c r="G15" s="34" t="str">
        <x:v>Si Kecil mencoba mengulangi tindakan caregiver seperti mengetuk, memasukkan, atau membuka benda sederhana.</x:v>
      </x:c>
      <x:c r="H15" s="34" t="str">
        <x:v>SRC_UNICEF_CCD; SRC_AAP_DEV_12M</x:v>
      </x:c>
      <x:c r="I15" s="34" t="str">
        <x:v>Modelkan satu langkah sederhana.</x:v>
      </x:c>
      <x:c r="J15" s="34" t="str">
        <x:v>source_checked</x:v>
      </x:c>
    </x:row>
    <x:row r="16">
      <x:c r="A16" s="34" t="str">
        <x:v>SK078</x:v>
      </x:c>
      <x:c r="B16" s="34" t="str">
        <x:v>Memilih atau mempertahankan perhatian pada benda yang diminati</x:v>
      </x:c>
      <x:c r="C16" s="34" t="str">
        <x:v>Berpikir &amp; Eksplorasi</x:v>
      </x:c>
      <x:c r="D16" s="34" t="n">
        <x:v>301</x:v>
      </x:c>
      <x:c r="E16" s="34" t="n">
        <x:v>390</x:v>
      </x:c>
      <x:c r="F16" s="34" t="str">
        <x:v>activity observation</x:v>
      </x:c>
      <x:c r="G16" s="34" t="str">
        <x:v>Si Kecil memilih satu dari dua benda atau kembali ke benda yang menarik perhatiannya.</x:v>
      </x:c>
      <x:c r="H16" s="34" t="str">
        <x:v>SRC_WHO_CCD_9_12; SRC_UNICEF_CCD</x:v>
      </x:c>
      <x:c r="I16" s="34" t="str">
        <x:v>Tidak ada pilihan yang benar/salah.</x:v>
      </x:c>
      <x:c r="J16" s="34" t="str">
        <x:v>source_checked</x:v>
      </x:c>
    </x:row>
    <x:row r="17">
      <x:c r="A17" s="34" t="str">
        <x:v>SK079</x:v>
      </x:c>
      <x:c r="B17" s="34" t="str">
        <x:v>Menarik tubuh untuk berdiri</x:v>
      </x:c>
      <x:c r="C17" s="34" t="str">
        <x:v>Gerak Tubuh</x:v>
      </x:c>
      <x:c r="D17" s="34" t="n">
        <x:v>301</x:v>
      </x:c>
      <x:c r="E17" s="34" t="n">
        <x:v>390</x:v>
      </x:c>
      <x:c r="F17" s="34" t="str">
        <x:v>milestone/observation</x:v>
      </x:c>
      <x:c r="G17" s="34" t="str">
        <x:v>Si Kecil menarik tubuh ke posisi berdiri dengan dukungan furnitur kokoh.</x:v>
      </x:c>
      <x:c r="H17" s="34" t="str">
        <x:v>SRC_CDC_1Y_2026; SRC_AAP_MOVEMENT_8_12</x:v>
      </x:c>
      <x:c r="I17" s="34" t="str">
        <x:v>Furnitur harus stabil/terikat; jangan mempercepat kemampuan berdiri.</x:v>
      </x:c>
      <x:c r="J17" s="34" t="str">
        <x:v>source_checked</x:v>
      </x:c>
    </x:row>
    <x:row r="18">
      <x:c r="A18" s="34" t="str">
        <x:v>SK080</x:v>
      </x:c>
      <x:c r="B18" s="34" t="str">
        <x:v>Berjalan sambil berpegangan pada furnitur</x:v>
      </x:c>
      <x:c r="C18" s="34" t="str">
        <x:v>Gerak Tubuh</x:v>
      </x:c>
      <x:c r="D18" s="34" t="n">
        <x:v>331</x:v>
      </x:c>
      <x:c r="E18" s="34" t="n">
        <x:v>390</x:v>
      </x:c>
      <x:c r="F18" s="34" t="str">
        <x:v>milestone/observation</x:v>
      </x:c>
      <x:c r="G18" s="34" t="str">
        <x:v>Si Kecil bergerak menyamping sambil berpegangan pada furnitur yang aman.</x:v>
      </x:c>
      <x:c r="H18" s="34" t="str">
        <x:v>SRC_CDC_1Y_2026; SRC_AAP_MOVEMENT_8_12</x:v>
      </x:c>
      <x:c r="I18" s="34" t="str">
        <x:v>Cruising hanya di area baby-proof dan furnitur sangat stabil.</x:v>
      </x:c>
      <x:c r="J18" s="34" t="str">
        <x:v>source_checked</x:v>
      </x:c>
    </x:row>
    <x:row r="19">
      <x:c r="A19" s="34" t="str">
        <x:v>SK081</x:v>
      </x:c>
      <x:c r="B19" s="34" t="str">
        <x:v>Berdiri sesaat dengan sedikit/ tanpa dukungan</x:v>
      </x:c>
      <x:c r="C19" s="34" t="str">
        <x:v>Gerak Tubuh</x:v>
      </x:c>
      <x:c r="D19" s="34" t="n">
        <x:v>331</x:v>
      </x:c>
      <x:c r="E19" s="34" t="n">
        <x:v>390</x:v>
      </x:c>
      <x:c r="F19" s="34" t="str">
        <x:v>developmental observation</x:v>
      </x:c>
      <x:c r="G19" s="34" t="str">
        <x:v>Si Kecil sesekali melepas dukungan atau berdiri singkat sebelum mencari pegangan kembali.</x:v>
      </x:c>
      <x:c r="H19" s="34" t="str">
        <x:v>SRC_AAP_MOVEMENT_8_12; SRC_AAP_DEV_12M</x:v>
      </x:c>
      <x:c r="I19" s="34" t="str">
        <x:v>Tidak perlu dilatih dengan melepas tangan secara paksa.</x:v>
      </x:c>
      <x:c r="J19" s="34" t="str">
        <x:v>source_checked</x:v>
      </x:c>
    </x:row>
    <x:row r="20">
      <x:c r="A20" s="34" t="str">
        <x:v>SK082</x:v>
      </x:c>
      <x:c r="B20" s="34" t="str">
        <x:v>Berpindah antara duduk, merangkak, dan berdiri</x:v>
      </x:c>
      <x:c r="C20" s="34" t="str">
        <x:v>Gerak Tubuh</x:v>
      </x:c>
      <x:c r="D20" s="34" t="n">
        <x:v>301</x:v>
      </x:c>
      <x:c r="E20" s="34" t="n">
        <x:v>390</x:v>
      </x:c>
      <x:c r="F20" s="34" t="str">
        <x:v>developmental observation</x:v>
      </x:c>
      <x:c r="G20" s="34" t="str">
        <x:v>Si Kecil mulai lebih lancar berpindah posisi saat bermain di lantai.</x:v>
      </x:c>
      <x:c r="H20" s="34" t="str">
        <x:v>SRC_AAP_MOVEMENT_8_12</x:v>
      </x:c>
      <x:c r="I20" s="34" t="str">
        <x:v>Biarkan transisi terjadi alami di lingkungan aman.</x:v>
      </x:c>
      <x:c r="J20" s="34" t="str">
        <x:v>source_checked</x:v>
      </x:c>
    </x:row>
    <x:row r="21">
      <x:c r="A21" s="34" t="str">
        <x:v>SK083</x:v>
      </x:c>
      <x:c r="B21" s="34" t="str">
        <x:v>Mendorong benda stabil sambil berdiri/berjalan</x:v>
      </x:c>
      <x:c r="C21" s="34" t="str">
        <x:v>Gerak Tubuh</x:v>
      </x:c>
      <x:c r="D21" s="34" t="n">
        <x:v>331</x:v>
      </x:c>
      <x:c r="E21" s="34" t="n">
        <x:v>390</x:v>
      </x:c>
      <x:c r="F21" s="34" t="str">
        <x:v>activity observation</x:v>
      </x:c>
      <x:c r="G21" s="34" t="str">
        <x:v>Si Kecil mendorong benda sangat stabil seperti push toy yang sesuai atau kotak kokoh sambil melangkah.</x:v>
      </x:c>
      <x:c r="H21" s="34" t="str">
        <x:v>SRC_CDC_1Y_2026; SRC_AAP_MOVEMENT_8_12</x:v>
      </x:c>
      <x:c r="I21" s="34" t="str">
        <x:v>Baby walker beroda yang membuat anak duduk di dalamnya tidak direkomendasikan.</x:v>
      </x:c>
      <x:c r="J21" s="34" t="str">
        <x:v>source_checked</x:v>
      </x:c>
    </x:row>
    <x:row r="22">
      <x:c r="A22" s="34" t="str">
        <x:v>SK084</x:v>
      </x:c>
      <x:c r="B22" s="34" t="str">
        <x:v>Mengambil benda kecil makanan dengan ibu jari dan telunjuk</x:v>
      </x:c>
      <x:c r="C22" s="34" t="str">
        <x:v>Tangan &amp; Koordinasi</x:v>
      </x:c>
      <x:c r="D22" s="34" t="n">
        <x:v>331</x:v>
      </x:c>
      <x:c r="E22" s="34" t="n">
        <x:v>390</x:v>
      </x:c>
      <x:c r="F22" s="34" t="str">
        <x:v>milestone/observation</x:v>
      </x:c>
      <x:c r="G22" s="34" t="str">
        <x:v>Dalam konteks makan yang aman, Si Kecil mengambil potongan makanan sesuai usia dengan ibu jari dan telunjuk.</x:v>
      </x:c>
      <x:c r="H22" s="34" t="str">
        <x:v>SRC_CDC_1Y_2026; SRC_AAP_DEV_12M</x:v>
      </x:c>
      <x:c r="I22" s="34" t="str">
        <x:v>Jangan gunakan benda kecil non-makanan untuk menguji pincer grasp; feeding safety harus mengikuti panduan tenaga kesehatan.</x:v>
      </x:c>
      <x:c r="J22" s="34" t="str">
        <x:v>source_checked</x:v>
      </x:c>
    </x:row>
    <x:row r="23">
      <x:c r="A23" s="34" t="str">
        <x:v>SK085</x:v>
      </x:c>
      <x:c r="B23" s="34" t="str">
        <x:v>Melepas benda dengan sengaja ke wadah</x:v>
      </x:c>
      <x:c r="C23" s="34" t="str">
        <x:v>Tangan &amp; Koordinasi</x:v>
      </x:c>
      <x:c r="D23" s="34" t="n">
        <x:v>301</x:v>
      </x:c>
      <x:c r="E23" s="34" t="n">
        <x:v>390</x:v>
      </x:c>
      <x:c r="F23" s="34" t="str">
        <x:v>developmental observation</x:v>
      </x:c>
      <x:c r="G23" s="34" t="str">
        <x:v>Si Kecil melepaskan benda besar ke dalam wadah secara lebih terarah.</x:v>
      </x:c>
      <x:c r="H23" s="34" t="str">
        <x:v>SRC_CDC_1Y_2026; SRC_AAP_DEV_12M</x:v>
      </x:c>
      <x:c r="I23" s="34" t="str">
        <x:v>Gunakan benda besar aman.</x:v>
      </x:c>
      <x:c r="J23" s="34" t="str">
        <x:v>source_checked</x:v>
      </x:c>
    </x:row>
    <x:row r="24">
      <x:c r="A24" s="34" t="str">
        <x:v>SK086</x:v>
      </x:c>
      <x:c r="B24" s="34" t="str">
        <x:v>Membalik halaman board book tebal</x:v>
      </x:c>
      <x:c r="C24" s="34" t="str">
        <x:v>Tangan &amp; Koordinasi</x:v>
      </x:c>
      <x:c r="D24" s="34" t="n">
        <x:v>301</x:v>
      </x:c>
      <x:c r="E24" s="34" t="n">
        <x:v>390</x:v>
      </x:c>
      <x:c r="F24" s="34" t="str">
        <x:v>activity observation</x:v>
      </x:c>
      <x:c r="G24" s="34" t="str">
        <x:v>Si Kecil mencoba membuka atau membalik halaman tebal buku anak.</x:v>
      </x:c>
      <x:c r="H24" s="34" t="str">
        <x:v>SRC_AAP_DEV_12M</x:v>
      </x:c>
      <x:c r="I24" s="34" t="str">
        <x:v>Tidak menuntut satu halaman tepat satu kali.</x:v>
      </x:c>
      <x:c r="J24" s="34" t="str">
        <x:v>source_checked</x:v>
      </x:c>
    </x:row>
    <x:row r="25">
      <x:c r="A25" s="34" t="str">
        <x:v>SK087</x:v>
      </x:c>
      <x:c r="B25" s="34" t="str">
        <x:v>Minum dari cangkir terbuka dengan bantuan caregiver</x:v>
      </x:c>
      <x:c r="C25" s="34" t="str">
        <x:v>Tangan &amp; Koordinasi</x:v>
      </x:c>
      <x:c r="D25" s="34" t="n">
        <x:v>331</x:v>
      </x:c>
      <x:c r="E25" s="34" t="n">
        <x:v>390</x:v>
      </x:c>
      <x:c r="F25" s="34" t="str">
        <x:v>milestone/observation</x:v>
      </x:c>
      <x:c r="G25" s="34" t="str">
        <x:v>Si Kecil minum dari cangkir tanpa tutup saat cangkir dipegang atau dibantu caregiver.</x:v>
      </x:c>
      <x:c r="H25" s="34" t="str">
        <x:v>SRC_CDC_1Y_2026</x:v>
      </x:c>
      <x:c r="I25" s="34" t="str">
        <x:v>Aktivitas feeding harus mengikuti kesiapan anak; jangan diberikan sebagai tes perkembangan.</x:v>
      </x:c>
      <x:c r="J25" s="34" t="str">
        <x:v>source_checked</x:v>
      </x:c>
    </x:row>
    <x:row r="26">
      <x:c r="A26" t="str">
        <x:v>SK088</x:v>
      </x:c>
      <x:c r="B26" t="str">
        <x:v>Menarik atau melepas bagian besar mainan</x:v>
      </x:c>
      <x:c r="C26" t="str">
        <x:v>Tangan &amp; Koordinasi</x:v>
      </x:c>
      <x:c r="D26" t="n">
        <x:v>301</x:v>
      </x:c>
      <x:c r="E26" t="n">
        <x:v>390</x:v>
      </x:c>
      <x:c r="F26" t="str">
        <x:v>activity observation</x:v>
      </x:c>
      <x:c r="G26" t="str">
        <x:v>Si Kecil menarik, melepas, atau memindahkan bagian mainan berukuran besar seperti ring.</x:v>
      </x:c>
      <x:c r="H26" t="str">
        <x:v>SRC_AAP_DEV_12M; SRC_UNICEF_CCD</x:v>
      </x:c>
      <x:c r="I26" t="str">
        <x:v>Gunakan hanya bagian besar yang tidak dapat tertelan dan tidak tajam.</x:v>
      </x:c>
      <x:c r="J26" t="str">
        <x:v>source_checked</x:v>
      </x:c>
    </x:row>
    <x:row r="27">
      <x:c r="A27" t="str">
        <x:v>SK089</x:v>
      </x:c>
      <x:c r="B27" t="str">
        <x:v>Menekan tombol besar atau bagian mainan dengan tangan/jari</x:v>
      </x:c>
      <x:c r="C27" t="str">
        <x:v>Tangan &amp; Koordinasi</x:v>
      </x:c>
      <x:c r="D27" t="n">
        <x:v>301</x:v>
      </x:c>
      <x:c r="E27" t="n">
        <x:v>390</x:v>
      </x:c>
      <x:c r="F27" t="str">
        <x:v>activity observation</x:v>
      </x:c>
      <x:c r="G27" t="str">
        <x:v>Si Kecil menggunakan jari atau telapak untuk menekan bagian besar pada mainan sebab-akibat.</x:v>
      </x:c>
      <x:c r="H27" t="str">
        <x:v>SRC_AAP_DEV_12M; SRC_UNICEF_CCD</x:v>
      </x:c>
      <x:c r="I27" t="str">
        <x:v>Baterai wajib tertutup aman; bukan tes ketepatan jari.</x:v>
      </x:c>
      <x:c r="J27" t="str">
        <x:v>source_checked</x:v>
      </x:c>
    </x:row>
    <x:row r="28">
      <x:c r="A28" t="str">
        <x:v>SK090</x:v>
      </x:c>
      <x:c r="B28" t="str">
        <x:v>Menggunakan dua tangan untuk menumpuk, memasukkan, atau memisahkan cup besar</x:v>
      </x:c>
      <x:c r="C28" t="str">
        <x:v>Tangan &amp; Koordinasi</x:v>
      </x:c>
      <x:c r="D28" t="n">
        <x:v>331</x:v>
      </x:c>
      <x:c r="E28" t="n">
        <x:v>390</x:v>
      </x:c>
      <x:c r="F28" t="str">
        <x:v>activity observation</x:v>
      </x:c>
      <x:c r="G28" t="str">
        <x:v>Si Kecil menggunakan kedua tangan saat mengeksplorasi nesting cup atau benda besar sejenis.</x:v>
      </x:c>
      <x:c r="H28" t="str">
        <x:v>SRC_AAP_DEV_12M; SRC_UNICEF_CCD</x:v>
      </x:c>
      <x:c r="I28" t="str">
        <x:v>Tidak perlu menghasilkan susunan tertentu.</x:v>
      </x:c>
      <x:c r="J28" t="str">
        <x:v>source_checked</x:v>
      </x:c>
    </x:row>
  </x:sheetData>
  <x:dataValidations count="1">
    <x:dataValidation type="list" sqref="J2:J25">
      <x:formula1>"draft,source_checked,clinical_review,approved"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d929896df454c39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2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22" hidden="0" customWidth="1"/>
    <x:col min="9" max="9" width="24" hidden="0" customWidth="1"/>
    <x:col min="10" max="10" width="18" hidden="0" customWidth="1"/>
    <x:col min="11" max="11" width="14" hidden="0" customWidth="1"/>
    <x:col min="12" max="12" width="46" hidden="0" customWidth="1"/>
    <x:col min="13" max="13" width="66" hidden="0" customWidth="1"/>
    <x:col min="14" max="14" width="80" hidden="0" customWidth="1"/>
    <x:col min="15" max="15" width="90" hidden="0" customWidth="1"/>
    <x:col min="16" max="16" width="68" hidden="0" customWidth="1"/>
    <x:col min="17" max="17" width="48" hidden="0" customWidth="1"/>
    <x:col min="18" max="18" width="52" hidden="0" customWidth="1"/>
    <x:col min="19" max="19" width="86" hidden="0" customWidth="1"/>
    <x:col min="20" max="20" width="72" hidden="0" customWidth="1"/>
    <x:col min="21" max="21" width="62" hidden="0" customWidth="1"/>
    <x:col min="22" max="22" width="54" hidden="0" customWidth="1"/>
    <x:col min="23" max="23" width="80" hidden="0" customWidth="1"/>
    <x:col min="24" max="24" width="18" hidden="0" customWidth="1"/>
    <x:col min="25" max="25" width="20" hidden="0" customWidth="1"/>
    <x:col min="26" max="26" width="18" hidden="0" customWidth="1"/>
    <x:col min="27" max="27" width="15" hidden="0" customWidth="1"/>
  </x:cols>
  <x:sheetData>
    <x:row r="1">
      <x:c r="A1" s="52" t="str">
        <x:v>activity_id</x:v>
      </x:c>
      <x:c r="B1" s="52" t="str">
        <x:v>title</x:v>
      </x:c>
      <x:c r="C1" s="52" t="str">
        <x:v>age_label</x:v>
      </x:c>
      <x:c r="D1" s="52" t="str">
        <x:v>min_age_days</x:v>
      </x:c>
      <x:c r="E1" s="52" t="str">
        <x:v>max_age_days</x:v>
      </x:c>
      <x:c r="F1" s="52" t="str">
        <x:v>min_age_month</x:v>
      </x:c>
      <x:c r="G1" s="52" t="str">
        <x:v>max_age_month</x:v>
      </x:c>
      <x:c r="H1" s="52" t="str">
        <x:v>primary_domain</x:v>
      </x:c>
      <x:c r="I1" s="52" t="str">
        <x:v>secondary_domains</x:v>
      </x:c>
      <x:c r="J1" s="52" t="str">
        <x:v>activity_type</x:v>
      </x:c>
      <x:c r="K1" s="52" t="str">
        <x:v>duration_minutes</x:v>
      </x:c>
      <x:c r="L1" s="52" t="str">
        <x:v>materials</x:v>
      </x:c>
      <x:c r="M1" s="52" t="str">
        <x:v>benefit_short</x:v>
      </x:c>
      <x:c r="N1" s="52" t="str">
        <x:v>benefit_detail</x:v>
      </x:c>
      <x:c r="O1" s="52" t="str">
        <x:v>instructions</x:v>
      </x:c>
      <x:c r="P1" s="52" t="str">
        <x:v>observe_items</x:v>
      </x:c>
      <x:c r="Q1" s="52" t="str">
        <x:v>easy_variation</x:v>
      </x:c>
      <x:c r="R1" s="52" t="str">
        <x:v>alternate_variation</x:v>
      </x:c>
      <x:c r="S1" s="52" t="str">
        <x:v>safety_notes</x:v>
      </x:c>
      <x:c r="T1" s="52" t="str">
        <x:v>stop_conditions</x:v>
      </x:c>
      <x:c r="U1" s="52" t="str">
        <x:v>prematurity_notes</x:v>
      </x:c>
      <x:c r="V1" s="52" t="str">
        <x:v>source_refs</x:v>
      </x:c>
      <x:c r="W1" s="52" t="str">
        <x:v>evidence_note</x:v>
      </x:c>
      <x:c r="X1" s="52" t="str">
        <x:v>review_status</x:v>
      </x:c>
      <x:c r="Y1" s="52" t="str">
        <x:v>reviewer</x:v>
      </x:c>
      <x:c r="Z1" s="52" t="str">
        <x:v>last_reviewed_at</x:v>
      </x:c>
      <x:c r="AA1" s="52" t="str">
        <x:v>content_version</x:v>
      </x:c>
    </x:row>
    <x:row r="2">
      <x:c r="A2" s="34" t="str">
        <x:v>ACT093</x:v>
      </x:c>
      <x:c r="B2" s="34" t="str">
        <x:v>Cruising di Sofa yang Kokoh</x:v>
      </x:c>
      <x:c r="C2" s="34" t="str">
        <x:v>10–12 bulan</x:v>
      </x:c>
      <x:c r="D2" s="34" t="n">
        <x:v>301</x:v>
      </x:c>
      <x:c r="E2" s="34" t="n">
        <x:v>390</x:v>
      </x:c>
      <x:c r="F2" s="34" t="n">
        <x:v>10</x:v>
      </x:c>
      <x:c r="G2" s="34" t="n">
        <x:v>12</x:v>
      </x:c>
      <x:c r="H2" s="34" t="str">
        <x:v>Gerak Tubuh</x:v>
      </x:c>
      <x:c r="I2" s="34" t="str">
        <x:v>Tangan &amp; Koordinasi</x:v>
      </x:c>
      <x:c r="J2" s="34" t="str">
        <x:v>gerak</x:v>
      </x:c>
      <x:c r="K2" s="34" t="n">
        <x:v>6</x:v>
      </x:c>
      <x:c r="L2" s="34" t="str">
        <x:v>Sofa rendah/furnitur sangat kokoh dan terikat aman</x:v>
      </x:c>
      <x:c r="M2" s="34" t="str">
        <x:v>Memberi kesempatan Si Kecil melatih keseimbangan, perpindahan berat, dan langkah menyamping sambil berpegangan.</x:v>
      </x:c>
      <x:c r="N2" s="34" t="str">
        <x:v>Pada rentang usia ini sebagian bayi mulai bergerak sambil berpegangan pada furnitur; aktivitas harus mengikuti kemampuan yang sudah muncul, bukan memaksa berjalan.</x:v>
      </x:c>
      <x:c r="O2" s="34" t="str">
        <x:v>1) Pastikan sofa/furnitur sangat stabil. 2) Letakkan mainan menarik sedikit ke samping. 3) Biarkan Si Kecil bergerak menyamping sambil tetap berpegangan. 4) Caregiver berjaga sangat dekat.</x:v>
      </x:c>
      <x:c r="P2" s="34" t="str">
        <x:v>Berpindah berat; melangkah menyamping; menjaga pegangan; menurunkan tubuh kembali.</x:v>
      </x:c>
      <x:c r="Q2" s="34" t="str">
        <x:v>Main berdiri di satu titik sambil berpegangan.</x:v>
      </x:c>
      <x:c r="R2" s="34" t="str">
        <x:v>Pindahkan mainan sedikit lebih jauh sepanjang sofa bila anak stabil.</x:v>
      </x:c>
      <x:c r="S2" s="34" t="str">
        <x:v>Furnitur wajib stabil/terikat; sudut tajam ditutup; lantai tidak licin; tangga diberi gate; baby walker tidak digunakan.</x:v>
      </x:c>
      <x:c r="T2" s="34" t="str">
        <x:v>Hentikan bila furnitur bergerak, Si Kecil jatuh berulang, lelah, atau frustrasi.</x:v>
      </x:c>
      <x:c r="U2" s="34" t="str">
        <x:v>Prematur: gunakan corrected age dan kemampuan aktual; tidak perlu mempercepat walking.</x:v>
      </x:c>
      <x:c r="V2" s="34" t="str">
        <x:v>SRC_CDC_1Y_2026; SRC_AAP_MOVEMENT_8_12</x:v>
      </x:c>
      <x:c r="W2" s="34" t="str">
        <x:v>CDC 1 tahun mencakup walking holding furniture; AAP menekankan cruising dengan furnitur aman.</x:v>
      </x:c>
      <x:c r="X2" s="34" t="str">
        <x:v>source_checked</x:v>
      </x:c>
      <x:c r="Y2" s="34" t="str"/>
      <x:c r="Z2" s="34" t="str"/>
      <x:c r="AA2" s="34" t="str">
        <x:v>v0.4</x:v>
      </x:c>
    </x:row>
    <x:row r="3">
      <x:c r="A3" s="34" t="str">
        <x:v>ACT094</x:v>
      </x:c>
      <x:c r="B3" s="34" t="str">
        <x:v>Tarik Berdiri dari Posisi Aman</x:v>
      </x:c>
      <x:c r="C3" s="34" t="str">
        <x:v>10–12 bulan</x:v>
      </x:c>
      <x:c r="D3" s="34" t="n">
        <x:v>301</x:v>
      </x:c>
      <x:c r="E3" s="34" t="n">
        <x:v>390</x:v>
      </x:c>
      <x:c r="F3" s="34" t="n">
        <x:v>10</x:v>
      </x:c>
      <x:c r="G3" s="34" t="n">
        <x:v>12</x:v>
      </x:c>
      <x:c r="H3" s="34" t="str">
        <x:v>Gerak Tubuh</x:v>
      </x:c>
      <x:c r="I3" s="34" t="str">
        <x:v>Tangan &amp; Koordinasi</x:v>
      </x:c>
      <x:c r="J3" s="34" t="str">
        <x:v>gerak</x:v>
      </x:c>
      <x:c r="K3" s="34" t="n">
        <x:v>5</x:v>
      </x:c>
      <x:c r="L3" s="34" t="str">
        <x:v>Furnitur rendah sangat kokoh; matras tipis/karpet anti-slip</x:v>
      </x:c>
      <x:c r="M3" s="34" t="str">
        <x:v>Memberi kesempatan menggunakan lengan, kaki, dan batang tubuh saat Si Kecil secara alami mencoba berdiri.</x:v>
      </x:c>
      <x:c r="N3" s="34" t="str">
        <x:v>Pull-to-stand umum berkembang menjelang usia satu tahun, tetapi waktu munculnya bervariasi; caregiver menyediakan lingkungan aman, bukan menarik anak ke posisi berdiri.</x:v>
      </x:c>
      <x:c r="O3" s="34" t="str">
        <x:v>1) Tempatkan mainan di atas permukaan rendah yang kokoh. 2) Biarkan Si Kecil mendekat dan menggunakan pegangan sendiri. 3) Jaga tubuhnya dari belakang tanpa menarik tangan.</x:v>
      </x:c>
      <x:c r="P3" s="34" t="str">
        <x:v>Berlutut; menumpu tangan; meluruskan kaki; menarik tubuh ke atas.</x:v>
      </x:c>
      <x:c r="Q3" s="34" t="str">
        <x:v>Main berlutut di depan furnitur tanpa harus berdiri.</x:v>
      </x:c>
      <x:c r="R3" s="34" t="str">
        <x:v>Biarkan anak menurunkan tubuh sendiri saat sudah mampu.</x:v>
      </x:c>
      <x:c r="S3" s="34" t="str">
        <x:v>Tidak boleh menarik lengan anak; furnitur harus terikat/stabil; jauhkan meja kaca, kabel, dan benda panas.</x:v>
      </x:c>
      <x:c r="T3" s="34" t="str">
        <x:v>Hentikan bila anak tampak kesakitan, furnitur bergeser, atau lelah.</x:v>
      </x:c>
      <x:c r="U3" s="34" t="str">
        <x:v>Prematur: sesuai corrected age dan kemampuan aktual.</x:v>
      </x:c>
      <x:c r="V3" s="34" t="str">
        <x:v>SRC_CDC_1Y_2026; SRC_AAP_MOVEMENT_8_12; SRC_AAP_DEV_12M</x:v>
      </x:c>
      <x:c r="W3" s="34" t="str">
        <x:v>CDC/AAP mencantumkan pull-to-stand sebagai keterampilan sekitar akhir tahun pertama.</x:v>
      </x:c>
      <x:c r="X3" s="34" t="str">
        <x:v>source_checked</x:v>
      </x:c>
      <x:c r="Y3" s="34" t="str"/>
      <x:c r="Z3" s="34" t="str"/>
      <x:c r="AA3" s="34" t="str">
        <x:v>v0.4</x:v>
      </x:c>
    </x:row>
    <x:row r="4">
      <x:c r="A4" s="34" t="str">
        <x:v>ACT095</x:v>
      </x:c>
      <x:c r="B4" s="34" t="str">
        <x:v>Kejar Bola di Lantai</x:v>
      </x:c>
      <x:c r="C4" s="34" t="str">
        <x:v>10–12 bulan</x:v>
      </x:c>
      <x:c r="D4" s="34" t="n">
        <x:v>301</x:v>
      </x:c>
      <x:c r="E4" s="34" t="n">
        <x:v>390</x:v>
      </x:c>
      <x:c r="F4" s="34" t="n">
        <x:v>10</x:v>
      </x:c>
      <x:c r="G4" s="34" t="n">
        <x:v>12</x:v>
      </x:c>
      <x:c r="H4" s="34" t="str">
        <x:v>Gerak Tubuh</x:v>
      </x:c>
      <x:c r="I4" s="34" t="str">
        <x:v>Berpikir &amp; Eksplorasi</x:v>
      </x:c>
      <x:c r="J4" s="34" t="str">
        <x:v>gerak</x:v>
      </x:c>
      <x:c r="K4" s="34" t="n">
        <x:v>7</x:v>
      </x:c>
      <x:c r="L4" s="34" t="str">
        <x:v>Bola besar ringan; ruang lantai baby-proof</x:v>
      </x:c>
      <x:c r="M4" s="34" t="str">
        <x:v>Memberi kesempatan bergerak menuju target yang berubah sambil melatih koordinasi seluruh tubuh.</x:v>
      </x:c>
      <x:c r="N4" s="34" t="str">
        <x:v>Bola yang bergerak perlahan dapat mendorong eksplorasi mobilitas dengan cara yang dipilih anak sendiri: merangkak, scooting, atau berjalan berpegangan.</x:v>
      </x:c>
      <x:c r="O4" s="34" t="str">
        <x:v>1) Duduk di lantai. 2) Gelindingkan bola perlahan tidak terlalu jauh. 3) Biarkan Si Kecil mendekati dengan caranya sendiri. 4) Ulangi bila menikmati.</x:v>
      </x:c>
      <x:c r="P4" s="34" t="str">
        <x:v>Merangkak/scooting; berpindah duduk; meraih bola; mengikuti arah bola.</x:v>
      </x:c>
      <x:c r="Q4" s="34" t="str">
        <x:v>Gelindingkan sangat dekat.</x:v>
      </x:c>
      <x:c r="R4" s="34" t="str">
        <x:v>Gelindingkan sedikit ke sisi berbeda.</x:v>
      </x:c>
      <x:c r="S4" s="34" t="str">
        <x:v>Area harus bebas tangga terbuka, kabel, benda kecil, furnitur goyah, dan permukaan licin.</x:v>
      </x:c>
      <x:c r="T4" s="34" t="str">
        <x:v>Hentikan bila bola masuk area tidak aman atau anak lelah.</x:v>
      </x:c>
      <x:c r="U4" s="34" t="str">
        <x:v>Prematur: sesuaikan jarak dan mobilitas aktual.</x:v>
      </x:c>
      <x:c r="V4" s="34" t="str">
        <x:v>SRC_AAP_MOVEMENT_8_12; SRC_CDC_1Y_2026</x:v>
      </x:c>
      <x:c r="W4" s="34" t="str">
        <x:v>Selaras dengan floor mobility dan permainan gerak menjelang usia satu tahun.</x:v>
      </x:c>
      <x:c r="X4" s="34" t="str">
        <x:v>source_checked</x:v>
      </x:c>
      <x:c r="Y4" s="34" t="str"/>
      <x:c r="Z4" s="34" t="str"/>
      <x:c r="AA4" s="34" t="str">
        <x:v>v0.4</x:v>
      </x:c>
    </x:row>
    <x:row r="5">
      <x:c r="A5" s="34" t="str">
        <x:v>ACT096</x:v>
      </x:c>
      <x:c r="B5" s="34" t="str">
        <x:v>Pindah antara Dua Pegangan Dekat</x:v>
      </x:c>
      <x:c r="C5" s="34" t="str">
        <x:v>11–12 bulan</x:v>
      </x:c>
      <x:c r="D5" s="34" t="n">
        <x:v>331</x:v>
      </x:c>
      <x:c r="E5" s="34" t="n">
        <x:v>390</x:v>
      </x:c>
      <x:c r="F5" s="34" t="n">
        <x:v>11</x:v>
      </x:c>
      <x:c r="G5" s="34" t="n">
        <x:v>12</x:v>
      </x:c>
      <x:c r="H5" s="34" t="str">
        <x:v>Gerak Tubuh</x:v>
      </x:c>
      <x:c r="I5" s="34" t="str">
        <x:v>Tangan &amp; Koordinasi</x:v>
      </x:c>
      <x:c r="J5" s="34" t="str">
        <x:v>gerak</x:v>
      </x:c>
      <x:c r="K5" s="34" t="n">
        <x:v>5</x:v>
      </x:c>
      <x:c r="L5" s="34" t="str">
        <x:v>Dua permukaan kokoh yang sangat dekat dan stabil</x:v>
      </x:c>
      <x:c r="M5" s="34" t="str">
        <x:v>Memberi kesempatan melatih perpindahan berat dan transisi antarpegangan secara bertahap.</x:v>
      </x:c>
      <x:c r="N5" s="34" t="str">
        <x:v>Aktivitas hanya untuk anak yang sudah nyaman berdiri sambil berpegangan; tidak digunakan untuk memaksa langkah mandiri.</x:v>
      </x:c>
      <x:c r="O5" s="34" t="str">
        <x:v>1) Pastikan dua pegangan kokoh berjarak sangat dekat. 2) Letakkan mainan pada pegangan kedua. 3) Biarkan Si Kecil memindahkan satu tangan lalu tubuh sesuai kemampuan.</x:v>
      </x:c>
      <x:c r="P5" s="34" t="str">
        <x:v>Memindahkan tangan; memutar tubuh; melangkah kecil; mencari pegangan baru.</x:v>
      </x:c>
      <x:c r="Q5" s="34" t="str">
        <x:v>Dua pegangan hampir bersentuhan.</x:v>
      </x:c>
      <x:c r="R5" s="34" t="str">
        <x:v>Tambah jarak sedikit hanya jika sudah sangat stabil.</x:v>
      </x:c>
      <x:c r="S5" s="34" t="str">
        <x:v>Kedua furnitur harus terikat; caregiver berada dalam jangkauan tangan; jangan membuat celah jatuh.</x:v>
      </x:c>
      <x:c r="T5" s="34" t="str">
        <x:v>Hentikan bila anak ragu kuat, jatuh, atau kehilangan keseimbangan berulang.</x:v>
      </x:c>
      <x:c r="U5" s="34" t="str">
        <x:v>Prematur: sesuai corrected age dan kemampuan aktual.</x:v>
      </x:c>
      <x:c r="V5" s="34" t="str">
        <x:v>SRC_AAP_MOVEMENT_8_12; SRC_CDC_1Y_2026</x:v>
      </x:c>
      <x:c r="W5" s="34" t="str">
        <x:v>Turunan konservatif dari cruising dan transisi pegangan.</x:v>
      </x:c>
      <x:c r="X5" s="34" t="str">
        <x:v>source_checked</x:v>
      </x:c>
      <x:c r="Y5" s="34" t="str"/>
      <x:c r="Z5" s="34" t="str"/>
      <x:c r="AA5" s="34" t="str">
        <x:v>v0.4</x:v>
      </x:c>
    </x:row>
    <x:row r="6">
      <x:c r="A6" s="34" t="str">
        <x:v>ACT097</x:v>
      </x:c>
      <x:c r="B6" s="34" t="str">
        <x:v>Dorong Kotak Stabil atau Push Toy</x:v>
      </x:c>
      <x:c r="C6" s="34" t="str">
        <x:v>11–12 bulan</x:v>
      </x:c>
      <x:c r="D6" s="34" t="n">
        <x:v>331</x:v>
      </x:c>
      <x:c r="E6" s="34" t="n">
        <x:v>390</x:v>
      </x:c>
      <x:c r="F6" s="34" t="n">
        <x:v>11</x:v>
      </x:c>
      <x:c r="G6" s="34" t="n">
        <x:v>12</x:v>
      </x:c>
      <x:c r="H6" s="34" t="str">
        <x:v>Gerak Tubuh</x:v>
      </x:c>
      <x:c r="I6" s="34" t="str">
        <x:v>Tangan &amp; Koordinasi</x:v>
      </x:c>
      <x:c r="J6" s="34" t="str">
        <x:v>gerak</x:v>
      </x:c>
      <x:c r="K6" s="34" t="n">
        <x:v>6</x:v>
      </x:c>
      <x:c r="L6" s="34" t="str">
        <x:v>Push toy yang memang dirancang stabil atau kotak kokoh berat yang tidak mudah meluncur</x:v>
      </x:c>
      <x:c r="M6" s="34" t="str">
        <x:v>Memberi kesempatan melatih langkah, keseimbangan, dan koordinasi sambil mendorong objek stabil.</x:v>
      </x:c>
      <x:c r="N6" s="34" t="str">
        <x:v>CDC menyarankan benda yang dapat didorong untuk latihan berjalan; AAP membedakan push toy dari baby walker duduk yang tidak direkomendasikan.</x:v>
      </x:c>
      <x:c r="O6" s="34" t="str">
        <x:v>1) Gunakan push toy stabil di permukaan datar. 2) Bantu Si Kecil berdiri hanya bila ia sudah mampu. 3) Biarkan mendorong beberapa langkah dengan caregiver di samping.</x:v>
      </x:c>
      <x:c r="P6" s="34" t="str">
        <x:v>Mendorong; melangkah; berhenti; menjaga pegangan.</x:v>
      </x:c>
      <x:c r="Q6" s="34" t="str">
        <x:v>Dorong bersama caregiver.</x:v>
      </x:c>
      <x:c r="R6" s="34" t="str">
        <x:v>Biarkan mendorong sendiri beberapa langkah bila stabil.</x:v>
      </x:c>
      <x:c r="S6" s="34" t="str">
        <x:v>Bukan baby walker duduk; cek alat tidak melaju terlalu cepat; jauh dari tangga dan permukaan menurun.</x:v>
      </x:c>
      <x:c r="T6" s="34" t="str">
        <x:v>Hentikan bila alat meluncur terlalu cepat atau anak kehilangan keseimbangan.</x:v>
      </x:c>
      <x:c r="U6" s="34" t="str">
        <x:v>Prematur: hanya bila kemampuan berdiri/berjalan berpegangan sudah muncul.</x:v>
      </x:c>
      <x:c r="V6" s="34" t="str">
        <x:v>SRC_CDC_1Y_2026; SRC_AAP_MOVEMENT_8_12</x:v>
      </x:c>
      <x:c r="W6" s="34" t="str">
        <x:v>CDC menyarankan push objects; AAP tidak merekomendasikan baby walkers.</x:v>
      </x:c>
      <x:c r="X6" s="34" t="str">
        <x:v>source_checked</x:v>
      </x:c>
      <x:c r="Y6" s="34" t="str"/>
      <x:c r="Z6" s="34" t="str"/>
      <x:c r="AA6" s="34" t="str">
        <x:v>v0.4</x:v>
      </x:c>
    </x:row>
    <x:row r="7">
      <x:c r="A7" s="34" t="str">
        <x:v>ACT098</x:v>
      </x:c>
      <x:c r="B7" s="34" t="str">
        <x:v>Berdiri–Raih–Kembali Berpegangan</x:v>
      </x:c>
      <x:c r="C7" s="34" t="str">
        <x:v>11–12 bulan</x:v>
      </x:c>
      <x:c r="D7" s="34" t="n">
        <x:v>331</x:v>
      </x:c>
      <x:c r="E7" s="34" t="n">
        <x:v>390</x:v>
      </x:c>
      <x:c r="F7" s="34" t="n">
        <x:v>11</x:v>
      </x:c>
      <x:c r="G7" s="34" t="n">
        <x:v>12</x:v>
      </x:c>
      <x:c r="H7" s="34" t="str">
        <x:v>Gerak Tubuh</x:v>
      </x:c>
      <x:c r="I7" s="34" t="str">
        <x:v>Tangan &amp; Koordinasi</x:v>
      </x:c>
      <x:c r="J7" s="34" t="str">
        <x:v>gerak</x:v>
      </x:c>
      <x:c r="K7" s="34" t="n">
        <x:v>5</x:v>
      </x:c>
      <x:c r="L7" s="34" t="str">
        <x:v>Furnitur stabil; mainan besar</x:v>
      </x:c>
      <x:c r="M7" s="34" t="str">
        <x:v>Memberi kesempatan melatih keseimbangan dinamis saat satu tangan melepaskan pegangan untuk meraih benda.</x:v>
      </x:c>
      <x:c r="N7" s="34" t="str">
        <x:v>Saat keseimbangan meningkat, bayi dapat sesaat mengurangi dukungan saat berdiri; caregiver tidak perlu memaksa berdiri tanpa pegangan.</x:v>
      </x:c>
      <x:c r="O7" s="34" t="str">
        <x:v>1) Si Kecil berdiri sambil berpegangan. 2) Tawarkan mainan dekat salah satu tangan. 3) Biarkan ia meraih sambil tangan lain tetap berpegangan. 4) Kembalikan mainan bila perlu.</x:v>
      </x:c>
      <x:c r="P7" s="34" t="str">
        <x:v>Memindahkan berat; satu tangan lepas; meraih; kembali berpegangan.</x:v>
      </x:c>
      <x:c r="Q7" s="34" t="str">
        <x:v>Mainan diletakkan di permukaan furnitur.</x:v>
      </x:c>
      <x:c r="R7" s="34" t="str">
        <x:v>Tawarkan sedikit ke samping bila stabil.</x:v>
      </x:c>
      <x:c r="S7" s="34" t="str">
        <x:v>Furnitur stabil/terikat; caregiver sangat dekat; lantai anti-slip.</x:v>
      </x:c>
      <x:c r="T7" s="34" t="str">
        <x:v>Hentikan bila anak jatuh berulang atau lelah.</x:v>
      </x:c>
      <x:c r="U7" s="34" t="str">
        <x:v>Prematur: sesuai kemampuan aktual.</x:v>
      </x:c>
      <x:c r="V7" s="34" t="str">
        <x:v>SRC_AAP_MOVEMENT_8_12; SRC_AAP_DEV_12M</x:v>
      </x:c>
      <x:c r="W7" s="34" t="str">
        <x:v>Selaras dengan emerging standing balance dan reaching.</x:v>
      </x:c>
      <x:c r="X7" s="34" t="str">
        <x:v>source_checked</x:v>
      </x:c>
      <x:c r="Y7" s="34" t="str"/>
      <x:c r="Z7" s="34" t="str"/>
      <x:c r="AA7" s="34" t="str">
        <x:v>v0.4</x:v>
      </x:c>
    </x:row>
    <x:row r="8">
      <x:c r="A8" s="34" t="str">
        <x:v>ACT099</x:v>
      </x:c>
      <x:c r="B8" s="34" t="str">
        <x:v>Masukkan Blok Besar ke Cangkir</x:v>
      </x:c>
      <x:c r="C8" s="34" t="str">
        <x:v>10–12 bulan</x:v>
      </x:c>
      <x:c r="D8" s="34" t="n">
        <x:v>301</x:v>
      </x:c>
      <x:c r="E8" s="34" t="n">
        <x:v>390</x:v>
      </x:c>
      <x:c r="F8" s="34" t="n">
        <x:v>10</x:v>
      </x:c>
      <x:c r="G8" s="34" t="n">
        <x:v>12</x:v>
      </x:c>
      <x:c r="H8" s="34" t="str">
        <x:v>Tangan &amp; Koordinasi</x:v>
      </x:c>
      <x:c r="I8" s="34" t="str">
        <x:v>Berpikir &amp; Eksplorasi</x:v>
      </x:c>
      <x:c r="J8" s="34" t="str">
        <x:v>koordinasi</x:v>
      </x:c>
      <x:c r="K8" s="34" t="n">
        <x:v>6</x:v>
      </x:c>
      <x:c r="L8" s="34" t="str">
        <x:v>Cangkir/wadah lebar; blok besar yang tidak dapat tertelan</x:v>
      </x:c>
      <x:c r="M8" s="34" t="str">
        <x:v>Memberi kesempatan melatih pelepasan benda yang lebih terarah serta koordinasi mata-tangan.</x:v>
      </x:c>
      <x:c r="N8" s="34" t="str">
        <x:v>Menjelang satu tahun, sebagian anak mulai memasukkan benda ke wadah; aktivitas dilakukan dengan objek besar agar aman.</x:v>
      </x:c>
      <x:c r="O8" s="34" t="str">
        <x:v>1) Tunjukkan sekali memasukkan blok ke wadah. 2) Berikan blok ke Si Kecil. 3) Biarkan mencoba memasukkan, menjatuhkan, atau mengeluarkan kembali.</x:v>
      </x:c>
      <x:c r="P8" s="34" t="str">
        <x:v>Menggenggam; mengarahkan ke wadah; melepas; mengambil kembali.</x:v>
      </x:c>
      <x:c r="Q8" s="34" t="str">
        <x:v>Gunakan wadah sangat lebar.</x:v>
      </x:c>
      <x:c r="R8" s="34" t="str">
        <x:v>Gunakan dua blok besar.</x:v>
      </x:c>
      <x:c r="S8" s="34" t="str">
        <x:v>Semua benda terlalu besar untuk tertelan; wadah tidak boleh menutup kepala/wajah.</x:v>
      </x:c>
      <x:c r="T8" s="34" t="str">
        <x:v>Hentikan bila benda/wadah rusak.</x:v>
      </x:c>
      <x:c r="U8" s="34" t="str">
        <x:v>Prematur: sesuaikan koordinasi aktual.</x:v>
      </x:c>
      <x:c r="V8" s="34" t="str">
        <x:v>SRC_CDC_1Y_2026; SRC_AAP_DEV_12M</x:v>
      </x:c>
      <x:c r="W8" s="34" t="str">
        <x:v>CDC 1 tahun: puts something in a container, like a block in a cup.</x:v>
      </x:c>
      <x:c r="X8" s="34" t="str">
        <x:v>source_checked</x:v>
      </x:c>
      <x:c r="Y8" s="34" t="str"/>
      <x:c r="Z8" s="34" t="str"/>
      <x:c r="AA8" s="34" t="str">
        <x:v>v0.4</x:v>
      </x:c>
    </x:row>
    <x:row r="9">
      <x:c r="A9" s="34" t="str">
        <x:v>ACT100</x:v>
      </x:c>
      <x:c r="B9" s="34" t="str">
        <x:v>Keluarkan Lalu Masukkan Kembali</x:v>
      </x:c>
      <x:c r="C9" s="34" t="str">
        <x:v>10–12 bulan</x:v>
      </x:c>
      <x:c r="D9" s="34" t="n">
        <x:v>301</x:v>
      </x:c>
      <x:c r="E9" s="34" t="n">
        <x:v>390</x:v>
      </x:c>
      <x:c r="F9" s="34" t="n">
        <x:v>10</x:v>
      </x:c>
      <x:c r="G9" s="34" t="n">
        <x:v>12</x:v>
      </x:c>
      <x:c r="H9" s="34" t="str">
        <x:v>Tangan &amp; Koordinasi</x:v>
      </x:c>
      <x:c r="I9" s="34" t="str">
        <x:v>Berpikir &amp; Eksplorasi</x:v>
      </x:c>
      <x:c r="J9" s="34" t="str">
        <x:v>koordinasi</x:v>
      </x:c>
      <x:c r="K9" s="34" t="n">
        <x:v>6</x:v>
      </x:c>
      <x:c r="L9" s="34" t="str">
        <x:v>Wadah lebar; 2–3 benda besar</x:v>
      </x:c>
      <x:c r="M9" s="34" t="str">
        <x:v>Memberi kesempatan menggunakan genggaman dan pelepasan berulang sambil memahami hubungan benda dan wadah.</x:v>
      </x:c>
      <x:c r="N9" s="34" t="str">
        <x:v>Permainan masuk-keluar dapat diulang sesuai minat anak tanpa target jumlah tertentu.</x:v>
      </x:c>
      <x:c r="O9" s="34" t="str">
        <x:v>1) Letakkan dua benda besar di wadah. 2) Biarkan Si Kecil mengeluarkan. 3) Contohkan sekali memasukkan kembali. 4) Ikuti cara bermain anak.</x:v>
      </x:c>
      <x:c r="P9" s="34" t="str">
        <x:v>Mengambil; melepas; membalik wadah; memasukkan kembali.</x:v>
      </x:c>
      <x:c r="Q9" s="34" t="str">
        <x:v>Hanya keluarkan benda.</x:v>
      </x:c>
      <x:c r="R9" s="34" t="str">
        <x:v>Masukkan benda satu per satu.</x:v>
      </x:c>
      <x:c r="S9" s="34" t="str">
        <x:v>Objek besar dan utuh; wadah tanpa tepi tajam; selalu diawasi.</x:v>
      </x:c>
      <x:c r="T9" s="34" t="str">
        <x:v>Hentikan bila benda rusak atau anak frustrasi.</x:v>
      </x:c>
      <x:c r="U9" s="34" t="str">
        <x:v>Prematur: gunakan satu benda dulu.</x:v>
      </x:c>
      <x:c r="V9" s="34" t="str">
        <x:v>SRC_AAP_DEV_12M; SRC_WHO_CCD_9_12</x:v>
      </x:c>
      <x:c r="W9" s="34" t="str">
        <x:v>Selaras dengan container play dan manipulasi tangan akhir tahun pertama.</x:v>
      </x:c>
      <x:c r="X9" s="34" t="str">
        <x:v>source_checked</x:v>
      </x:c>
      <x:c r="Y9" s="34" t="str"/>
      <x:c r="Z9" s="34" t="str"/>
      <x:c r="AA9" s="34" t="str">
        <x:v>v0.4</x:v>
      </x:c>
    </x:row>
    <x:row r="10">
      <x:c r="A10" s="34" t="str">
        <x:v>ACT101</x:v>
      </x:c>
      <x:c r="B10" s="34" t="str">
        <x:v>Buka Halaman Board Book</x:v>
      </x:c>
      <x:c r="C10" s="34" t="str">
        <x:v>10–12 bulan</x:v>
      </x:c>
      <x:c r="D10" s="34" t="n">
        <x:v>301</x:v>
      </x:c>
      <x:c r="E10" s="34" t="n">
        <x:v>390</x:v>
      </x:c>
      <x:c r="F10" s="34" t="n">
        <x:v>10</x:v>
      </x:c>
      <x:c r="G10" s="34" t="n">
        <x:v>12</x:v>
      </x:c>
      <x:c r="H10" s="34" t="str">
        <x:v>Tangan &amp; Koordinasi</x:v>
      </x:c>
      <x:c r="I10" s="34" t="str">
        <x:v>Bahasa &amp; Komunikasi</x:v>
      </x:c>
      <x:c r="J10" s="34" t="str">
        <x:v>koordinasi</x:v>
      </x:c>
      <x:c r="K10" s="34" t="n">
        <x:v>6</x:v>
      </x:c>
      <x:c r="L10" s="34" t="str">
        <x:v>Board book tebal dan kokoh</x:v>
      </x:c>
      <x:c r="M10" s="34" t="str">
        <x:v>Memberi kesempatan menggunakan jari dan tangan untuk membuka halaman sambil berinteraksi dengan gambar dan bahasa.</x:v>
      </x:c>
      <x:c r="N10" s="34" t="str">
        <x:v>Board book memungkinkan anak memanipulasi halaman secara aman tanpa tuntutan membalik satu halaman secara presisi.</x:v>
      </x:c>
      <x:c r="O10" s="34" t="str">
        <x:v>1) Buka buku di lantai/pangkuan. 2) Angkat sedikit tepi halaman. 3) Biarkan Si Kecil mendorong/membalik. 4) Sebut gambar yang muncul.</x:v>
      </x:c>
      <x:c r="P10" s="34" t="str">
        <x:v>Meraih halaman; mendorong/membalik; melihat gambar; berganti tangan.</x:v>
      </x:c>
      <x:c r="Q10" s="34" t="str">
        <x:v>Caregiver membantu mengangkat tepi halaman.</x:v>
      </x:c>
      <x:c r="R10" s="34" t="str">
        <x:v>Biarkan anak memilih halaman berikutnya.</x:v>
      </x:c>
      <x:c r="S10" s="34" t="str">
        <x:v>Buku harus utuh tanpa bagian lepas; awasi bila mouthing.</x:v>
      </x:c>
      <x:c r="T10" s="34" t="str">
        <x:v>Hentikan bila buku rusak dan ada bagian lepas.</x:v>
      </x:c>
      <x:c r="U10" s="34" t="str">
        <x:v>Prematur: sama.</x:v>
      </x:c>
      <x:c r="V10" s="34" t="str">
        <x:v>SRC_AAP_DEV_12M; SRC_WHO_CCD_9_12</x:v>
      </x:c>
      <x:c r="W10" s="34" t="str">
        <x:v>Menggabungkan manipulasi tangan dengan komunikasi berbasis gambar.</x:v>
      </x:c>
      <x:c r="X10" s="34" t="str">
        <x:v>source_checked</x:v>
      </x:c>
      <x:c r="Y10" s="34" t="str"/>
      <x:c r="Z10" s="34" t="str"/>
      <x:c r="AA10" s="34" t="str">
        <x:v>v0.4</x:v>
      </x:c>
    </x:row>
    <x:row r="11">
      <x:c r="A11" s="34" t="str">
        <x:v>ACT102</x:v>
      </x:c>
      <x:c r="B11" s="34" t="str">
        <x:v>Lepas Ring Besar dari Tiang</x:v>
      </x:c>
      <x:c r="C11" s="34" t="str">
        <x:v>10–12 bulan</x:v>
      </x:c>
      <x:c r="D11" s="34" t="n">
        <x:v>301</x:v>
      </x:c>
      <x:c r="E11" s="34" t="n">
        <x:v>390</x:v>
      </x:c>
      <x:c r="F11" s="34" t="n">
        <x:v>10</x:v>
      </x:c>
      <x:c r="G11" s="34" t="n">
        <x:v>12</x:v>
      </x:c>
      <x:c r="H11" s="34" t="str">
        <x:v>Tangan &amp; Koordinasi</x:v>
      </x:c>
      <x:c r="I11" s="34" t="str">
        <x:v>Berpikir &amp; Eksplorasi</x:v>
      </x:c>
      <x:c r="J11" s="34" t="str">
        <x:v>koordinasi</x:v>
      </x:c>
      <x:c r="K11" s="34" t="n">
        <x:v>5</x:v>
      </x:c>
      <x:c r="L11" s="34" t="str">
        <x:v>Ring stacking toy besar dengan tiang tumpul dan stabil</x:v>
      </x:c>
      <x:c r="M11" s="34" t="str">
        <x:v>Memberi kesempatan melatih genggaman, menarik, dan koordinasi mata-tangan melalui benda besar.</x:v>
      </x:c>
      <x:c r="N11" s="34" t="str">
        <x:v>Pada fase ini eksplorasi melepas dan memasukkan bagian besar lebih sesuai daripada permainan kecil yang berisiko tertelan.</x:v>
      </x:c>
      <x:c r="O11" s="34" t="str">
        <x:v>1) Gunakan 1–2 ring besar. 2) Tunjukkan menarik ring dari tiang. 3) Biarkan Si Kecil melepas atau memegangnya.</x:v>
      </x:c>
      <x:c r="P11" s="34" t="str">
        <x:v>Meraih ring; menarik; memindahkan tangan; melihat tiang/ring.</x:v>
      </x:c>
      <x:c r="Q11" s="34" t="str">
        <x:v>Gunakan satu ring yang longgar.</x:v>
      </x:c>
      <x:c r="R11" s="34" t="str">
        <x:v>Tambahkan ring kedua.</x:v>
      </x:c>
      <x:c r="S11" s="34" t="str">
        <x:v>Ring harus terlalu besar untuk tertelan; tiang tumpul dan stabil; selalu diawasi.</x:v>
      </x:c>
      <x:c r="T11" s="34" t="str">
        <x:v>Hentikan bila mainan retak atau tiang tajam.</x:v>
      </x:c>
      <x:c r="U11" s="34" t="str">
        <x:v>Prematur: sesuaikan kesulitan.</x:v>
      </x:c>
      <x:c r="V11" s="34" t="str">
        <x:v>SRC_AAP_DEV_12M; SRC_UNICEF_CCD</x:v>
      </x:c>
      <x:c r="W11" s="34" t="str">
        <x:v>Turunan aman dari manipulasi objek dan container/stacking precursor.</x:v>
      </x:c>
      <x:c r="X11" s="34" t="str">
        <x:v>source_checked</x:v>
      </x:c>
      <x:c r="Y11" s="34" t="str"/>
      <x:c r="Z11" s="34" t="str"/>
      <x:c r="AA11" s="34" t="str">
        <x:v>v0.4</x:v>
      </x:c>
    </x:row>
    <x:row r="12">
      <x:c r="A12" s="34" t="str">
        <x:v>ACT103</x:v>
      </x:c>
      <x:c r="B12" s="34" t="str">
        <x:v>Tekan Tombol Besar pada Mainan</x:v>
      </x:c>
      <x:c r="C12" s="34" t="str">
        <x:v>10–12 bulan</x:v>
      </x:c>
      <x:c r="D12" s="34" t="n">
        <x:v>301</x:v>
      </x:c>
      <x:c r="E12" s="34" t="n">
        <x:v>390</x:v>
      </x:c>
      <x:c r="F12" s="34" t="n">
        <x:v>10</x:v>
      </x:c>
      <x:c r="G12" s="34" t="n">
        <x:v>12</x:v>
      </x:c>
      <x:c r="H12" s="34" t="str">
        <x:v>Tangan &amp; Koordinasi</x:v>
      </x:c>
      <x:c r="I12" s="34" t="str">
        <x:v>Berpikir &amp; Eksplorasi</x:v>
      </x:c>
      <x:c r="J12" s="34" t="str">
        <x:v>koordinasi</x:v>
      </x:c>
      <x:c r="K12" s="34" t="n">
        <x:v>5</x:v>
      </x:c>
      <x:c r="L12" s="34" t="str">
        <x:v>Mainan sebab-akibat dengan tombol besar dan baterai tertutup sekrup</x:v>
      </x:c>
      <x:c r="M12" s="34" t="str">
        <x:v>Memberi kesempatan menggunakan satu jari/tangan untuk menghasilkan perubahan sederhana pada mainan.</x:v>
      </x:c>
      <x:c r="N12" s="34" t="str">
        <x:v>Aktivitas menggabungkan manipulasi tangan dan eksplorasi sebab-akibat tanpa benda kecil.</x:v>
      </x:c>
      <x:c r="O12" s="34" t="str">
        <x:v>1) Tunjukkan sekali menekan tombol besar. 2) Berikan mainan. 3) Biarkan Si Kecil mencoba menekan, menepuk, atau mengeksplorasi.</x:v>
      </x:c>
      <x:c r="P12" s="34" t="str">
        <x:v>Menekan; menggunakan jari/telapak; memperhatikan hasil; mengulang.</x:v>
      </x:c>
      <x:c r="Q12" s="34" t="str">
        <x:v>Caregiver aktifkan sekali dan anak melihat.</x:v>
      </x:c>
      <x:c r="R12" s="34" t="str">
        <x:v>Biarkan anak mencari tombol sendiri.</x:v>
      </x:c>
      <x:c r="S12" s="34" t="str">
        <x:v>Kompartemen baterai wajib tertutup sekrup; tidak ada bagian kecil/tali; volume suara rendah.</x:v>
      </x:c>
      <x:c r="T12" s="34" t="str">
        <x:v>Hentikan bila penutup baterai longgar atau alat rusak.</x:v>
      </x:c>
      <x:c r="U12" s="34" t="str">
        <x:v>Prematur: stimulus rendah.</x:v>
      </x:c>
      <x:c r="V12" s="34" t="str">
        <x:v>SRC_AAP_DEV_12M; SRC_UNICEF_CCD</x:v>
      </x:c>
      <x:c r="W12" s="34" t="str">
        <x:v>Selaras dengan fine-motor manipulation dan cause-effect exploration.</x:v>
      </x:c>
      <x:c r="X12" s="34" t="str">
        <x:v>source_checked</x:v>
      </x:c>
      <x:c r="Y12" s="34" t="str"/>
      <x:c r="Z12" s="34" t="str"/>
      <x:c r="AA12" s="34" t="str">
        <x:v>v0.4</x:v>
      </x:c>
    </x:row>
    <x:row r="13">
      <x:c r="A13" s="34" t="str">
        <x:v>ACT104</x:v>
      </x:c>
      <x:c r="B13" s="34" t="str">
        <x:v>Susun Dua Cup Besar Secara Bebas</x:v>
      </x:c>
      <x:c r="C13" s="34" t="str">
        <x:v>11–12 bulan</x:v>
      </x:c>
      <x:c r="D13" s="34" t="n">
        <x:v>331</x:v>
      </x:c>
      <x:c r="E13" s="34" t="n">
        <x:v>390</x:v>
      </x:c>
      <x:c r="F13" s="34" t="n">
        <x:v>11</x:v>
      </x:c>
      <x:c r="G13" s="34" t="n">
        <x:v>12</x:v>
      </x:c>
      <x:c r="H13" s="34" t="str">
        <x:v>Tangan &amp; Koordinasi</x:v>
      </x:c>
      <x:c r="I13" s="34" t="str">
        <x:v>Berpikir &amp; Eksplorasi</x:v>
      </x:c>
      <x:c r="J13" s="34" t="str">
        <x:v>koordinasi</x:v>
      </x:c>
      <x:c r="K13" s="34" t="n">
        <x:v>6</x:v>
      </x:c>
      <x:c r="L13" s="34" t="str">
        <x:v>Dua nesting cup besar</x:v>
      </x:c>
      <x:c r="M13" s="34" t="str">
        <x:v>Memberi kesempatan mengoordinasikan kedua tangan saat menumpuk, memasukkan, atau memisahkan dua benda besar.</x:v>
      </x:c>
      <x:c r="N13" s="34" t="str">
        <x:v>Tidak menuntut anak membuat menara; eksplorasi bebas dengan cup besar sudah memberi pengalaman koordinasi.</x:v>
      </x:c>
      <x:c r="O13" s="34" t="str">
        <x:v>1) Berikan dua cup. 2) Tunjukkan sekali satu cup di atas/dalam cup lain. 3) Biarkan anak mencoba versinya sendiri.</x:v>
      </x:c>
      <x:c r="P13" s="34" t="str">
        <x:v>Memegang dua cup; menumpuk; memasukkan; memisahkan.</x:v>
      </x:c>
      <x:c r="Q13" s="34" t="str">
        <x:v>Gunakan satu cup dan wadah.</x:v>
      </x:c>
      <x:c r="R13" s="34" t="str">
        <x:v>Gunakan tiga cup besar.</x:v>
      </x:c>
      <x:c r="S13" s="34" t="str">
        <x:v>Cup utuh, besar, tanpa retak/tepi tajam.</x:v>
      </x:c>
      <x:c r="T13" s="34" t="str">
        <x:v>Hentikan bila cup rusak.</x:v>
      </x:c>
      <x:c r="U13" s="34" t="str">
        <x:v>Prematur: dua cup cukup.</x:v>
      </x:c>
      <x:c r="V13" s="34" t="str">
        <x:v>SRC_AAP_DEV_12M; SRC_UNICEF_CCD</x:v>
      </x:c>
      <x:c r="W13" s="34" t="str">
        <x:v>Turunan aman dari object manipulation dan early stacking/container play.</x:v>
      </x:c>
      <x:c r="X13" s="34" t="str">
        <x:v>source_checked</x:v>
      </x:c>
      <x:c r="Y13" s="34" t="str"/>
      <x:c r="Z13" s="34" t="str"/>
      <x:c r="AA13" s="34" t="str">
        <x:v>v0.4</x:v>
      </x:c>
    </x:row>
    <x:row r="14">
      <x:c r="A14" s="34" t="str">
        <x:v>ACT105</x:v>
      </x:c>
      <x:c r="B14" s="34" t="str">
        <x:v>Dadah dalam Rutinitas Nyata</x:v>
      </x:c>
      <x:c r="C14" s="34" t="str">
        <x:v>10–12 bulan</x:v>
      </x:c>
      <x:c r="D14" s="34" t="n">
        <x:v>301</x:v>
      </x:c>
      <x:c r="E14" s="34" t="n">
        <x:v>390</x:v>
      </x:c>
      <x:c r="F14" s="34" t="n">
        <x:v>10</x:v>
      </x:c>
      <x:c r="G14" s="34" t="n">
        <x:v>12</x:v>
      </x:c>
      <x:c r="H14" s="34" t="str">
        <x:v>Bahasa &amp; Komunikasi</x:v>
      </x:c>
      <x:c r="I14" s="34" t="str">
        <x:v>Sosial &amp; Emosi</x:v>
      </x:c>
      <x:c r="J14" s="34" t="str">
        <x:v>gesture</x:v>
      </x:c>
      <x:c r="K14" s="34" t="n">
        <x:v>4</x:v>
      </x:c>
      <x:c r="L14" s="34" t="str">
        <x:v>Tidak perlu alat</x:v>
      </x:c>
      <x:c r="M14" s="34" t="str">
        <x:v>Memberi kesempatan menghubungkan gesture 'dadah' dengan situasi sosial yang nyata dan kata yang konsisten.</x:v>
      </x:c>
      <x:c r="N14" s="34" t="str">
        <x:v>WHO/UNICEF secara khusus merekomendasikan menunjukkan cara menggunakan tangan untuk mengatakan 'bye-bye' pada usia 9–12 bulan.</x:v>
      </x:c>
      <x:c r="O14" s="34" t="str">
        <x:v>1) Saat seseorang benar-benar pergi, caregiver melambaikan tangan dan berkata 'dadah'. 2) Beri jeda. 3) Respons hangat jika Si Kecil mencoba gesture/suara.</x:v>
      </x:c>
      <x:c r="P14" s="34" t="str">
        <x:v>Melihat gesture; menggerakkan tangan; bersuara; melihat orang yang pergi.</x:v>
      </x:c>
      <x:c r="Q14" s="34" t="str">
        <x:v>Caregiver saja yang melambaikan.</x:v>
      </x:c>
      <x:c r="R14" s="34" t="str">
        <x:v>Ulangi konsisten pada rutinitas harian.</x:v>
      </x:c>
      <x:c r="S14" s="34" t="str">
        <x:v>Jangan membuat orang pergi sengaja untuk menguji anak atau memicu distress.</x:v>
      </x:c>
      <x:c r="T14" s="34" t="str">
        <x:v>Hentikan permainan jika anak distress; kebutuhan emosional diprioritaskan.</x:v>
      </x:c>
      <x:c r="U14" s="34" t="str">
        <x:v>Prematur: ikuti cue.</x:v>
      </x:c>
      <x:c r="V14" s="34" t="str">
        <x:v>SRC_CDC_1Y_2026; SRC_WHO_CCD_9_12</x:v>
      </x:c>
      <x:c r="W14" s="34" t="str">
        <x:v>CDC 1 tahun mencantumkan waves bye-bye; CCD merekomendasikan modeling gesture bye-bye.</x:v>
      </x:c>
      <x:c r="X14" s="34" t="str">
        <x:v>source_checked</x:v>
      </x:c>
      <x:c r="Y14" s="34" t="str"/>
      <x:c r="Z14" s="34" t="str"/>
      <x:c r="AA14" s="34" t="str">
        <x:v>v0.4</x:v>
      </x:c>
    </x:row>
    <x:row r="15">
      <x:c r="A15" s="34" t="str">
        <x:v>ACT106</x:v>
      </x:c>
      <x:c r="B15" s="34" t="str">
        <x:v>Sebut Nama Orang yang Familiar</x:v>
      </x:c>
      <x:c r="C15" s="34" t="str">
        <x:v>10–12 bulan</x:v>
      </x:c>
      <x:c r="D15" s="34" t="n">
        <x:v>301</x:v>
      </x:c>
      <x:c r="E15" s="34" t="n">
        <x:v>390</x:v>
      </x:c>
      <x:c r="F15" s="34" t="n">
        <x:v>10</x:v>
      </x:c>
      <x:c r="G15" s="34" t="n">
        <x:v>12</x:v>
      </x:c>
      <x:c r="H15" s="34" t="str">
        <x:v>Bahasa &amp; Komunikasi</x:v>
      </x:c>
      <x:c r="I15" s="34" t="str">
        <x:v>Sosial &amp; Emosi</x:v>
      </x:c>
      <x:c r="J15" s="34" t="str">
        <x:v>komunikasi</x:v>
      </x:c>
      <x:c r="K15" s="34" t="n">
        <x:v>5</x:v>
      </x:c>
      <x:c r="L15" s="34" t="str">
        <x:v>Foto keluarga atau orang familiar secara langsung</x:v>
      </x:c>
      <x:c r="M15" s="34" t="str">
        <x:v>Memberi paparan bahasa yang menghubungkan nama dengan orang yang sedang dilihat Si Kecil.</x:v>
      </x:c>
      <x:c r="N15" s="34" t="str">
        <x:v>Menamai orang dan benda yang familiar adalah rekomendasi komunikasi WHO/UNICEF 9–12 bulan.</x:v>
      </x:c>
      <x:c r="O15" s="34" t="str">
        <x:v>1) Tunjukkan satu orang/foto. 2) Sebut namanya singkat: 'Ini Ayah.' 3) Jeda dan biarkan anak melihat/bersuara.</x:v>
      </x:c>
      <x:c r="P15" s="34" t="str">
        <x:v>Melihat orang/foto; melihat caregiver; bersuara; menyentuh foto.</x:v>
      </x:c>
      <x:c r="Q15" s="34" t="str">
        <x:v>Satu orang saja.</x:v>
      </x:c>
      <x:c r="R15" s="34" t="str">
        <x:v>Bandingkan dua foto familiar pada sesi berbeda.</x:v>
      </x:c>
      <x:c r="S15" s="34" t="str">
        <x:v>Foto/album utuh tanpa bagian kecil; jangan memaksa respons nama.</x:v>
      </x:c>
      <x:c r="T15" s="34" t="str">
        <x:v>Hentikan bila anak kehilangan minat.</x:v>
      </x:c>
      <x:c r="U15" s="34" t="str">
        <x:v>Prematur: sama.</x:v>
      </x:c>
      <x:c r="V15" s="34" t="str">
        <x:v>SRC_WHO_CCD_9_12; SRC_AAP_DEV_12M</x:v>
      </x:c>
      <x:c r="W15" s="34" t="str">
        <x:v>CCD: tell child names of things and people.</x:v>
      </x:c>
      <x:c r="X15" s="34" t="str">
        <x:v>source_checked</x:v>
      </x:c>
      <x:c r="Y15" s="34" t="str"/>
      <x:c r="Z15" s="34" t="str"/>
      <x:c r="AA15" s="34" t="str">
        <x:v>v0.4</x:v>
      </x:c>
    </x:row>
    <x:row r="16">
      <x:c r="A16" s="34" t="str">
        <x:v>ACT107</x:v>
      </x:c>
      <x:c r="B16" s="34" t="str">
        <x:v>Permintaan Sederhana: 'Beri Bola'</x:v>
      </x:c>
      <x:c r="C16" s="34" t="str">
        <x:v>11–12 bulan</x:v>
      </x:c>
      <x:c r="D16" s="34" t="n">
        <x:v>331</x:v>
      </x:c>
      <x:c r="E16" s="34" t="n">
        <x:v>390</x:v>
      </x:c>
      <x:c r="F16" s="34" t="n">
        <x:v>11</x:v>
      </x:c>
      <x:c r="G16" s="34" t="n">
        <x:v>12</x:v>
      </x:c>
      <x:c r="H16" s="34" t="str">
        <x:v>Bahasa &amp; Komunikasi</x:v>
      </x:c>
      <x:c r="I16" s="34" t="str">
        <x:v>Sosial &amp; Emosi</x:v>
      </x:c>
      <x:c r="J16" s="34" t="str">
        <x:v>komunikasi</x:v>
      </x:c>
      <x:c r="K16" s="34" t="n">
        <x:v>5</x:v>
      </x:c>
      <x:c r="L16" s="34" t="str">
        <x:v>Bola besar/mainan familiar</x:v>
      </x:c>
      <x:c r="M16" s="34" t="str">
        <x:v>Memberi kesempatan menghubungkan kata sederhana, gesture tangan, dan tindakan dalam konteks bermain.</x:v>
      </x:c>
      <x:c r="N16" s="34" t="str">
        <x:v>Permintaan sederhana sebaiknya dibantu konteks dan gesture, bukan dijadikan tes pemahaman formal.</x:v>
      </x:c>
      <x:c r="O16" s="34" t="str">
        <x:v>1) Saat anak memegang bola, ulurkan tangan dan berkata 'Boleh kasih bola?'. 2) Tunggu. 3) Bila diberikan, balas dengan senyum lalu kembalikan untuk bermain.</x:v>
      </x:c>
      <x:c r="P16" s="34" t="str">
        <x:v>Melihat tangan caregiver; memberi benda; mempertahankan benda; bersuara.</x:v>
      </x:c>
      <x:c r="Q16" s="34" t="str">
        <x:v>Gunakan gesture tangan lebih jelas.</x:v>
      </x:c>
      <x:c r="R16" s="34" t="str">
        <x:v>Kurangi gesture bila anak sudah familiar.</x:v>
      </x:c>
      <x:c r="S16" s="34" t="str">
        <x:v>Jangan mengambil paksa atau menjadikan pemberian benda sebagai syarat mendapat perhatian.</x:v>
      </x:c>
      <x:c r="T16" s="34" t="str">
        <x:v>Hentikan bila anak frustrasi.</x:v>
      </x:c>
      <x:c r="U16" s="34" t="str">
        <x:v>Prematur: gunakan konteks familiar.</x:v>
      </x:c>
      <x:c r="V16" s="34" t="str">
        <x:v>SRC_AAP_DEV_12M; SRC_WHO_CCD_9_12</x:v>
      </x:c>
      <x:c r="W16" s="34" t="str">
        <x:v>Selaras dengan responding to simple request dan responsive turn-taking.</x:v>
      </x:c>
      <x:c r="X16" s="34" t="str">
        <x:v>source_checked</x:v>
      </x:c>
      <x:c r="Y16" s="34" t="str"/>
      <x:c r="Z16" s="34" t="str"/>
      <x:c r="AA16" s="34" t="str">
        <x:v>v0.4</x:v>
      </x:c>
    </x:row>
    <x:row r="17">
      <x:c r="A17" s="34" t="str">
        <x:v>ACT108</x:v>
      </x:c>
      <x:c r="B17" s="34" t="str">
        <x:v>Buku Gambar: Nama Benda dan Jeda</x:v>
      </x:c>
      <x:c r="C17" s="34" t="str">
        <x:v>10–12 bulan</x:v>
      </x:c>
      <x:c r="D17" s="34" t="n">
        <x:v>301</x:v>
      </x:c>
      <x:c r="E17" s="34" t="n">
        <x:v>390</x:v>
      </x:c>
      <x:c r="F17" s="34" t="n">
        <x:v>10</x:v>
      </x:c>
      <x:c r="G17" s="34" t="n">
        <x:v>12</x:v>
      </x:c>
      <x:c r="H17" s="34" t="str">
        <x:v>Bahasa &amp; Komunikasi</x:v>
      </x:c>
      <x:c r="I17" s="34" t="str">
        <x:v>Berpikir &amp; Eksplorasi</x:v>
      </x:c>
      <x:c r="J17" s="34" t="str">
        <x:v>komunikasi</x:v>
      </x:c>
      <x:c r="K17" s="34" t="n">
        <x:v>6</x:v>
      </x:c>
      <x:c r="L17" s="34" t="str">
        <x:v>Board book dengan gambar besar</x:v>
      </x:c>
      <x:c r="M17" s="34" t="str">
        <x:v>Memberi kesempatan menghubungkan gambar dengan kata dan berbagi perhatian bersama caregiver.</x:v>
      </x:c>
      <x:c r="N17" s="34" t="str">
        <x:v>Pada usia ini caregiver dapat menamai benda/orang yang menarik perhatian anak, lalu memberi waktu untuk merespons.</x:v>
      </x:c>
      <x:c r="O17" s="34" t="str">
        <x:v>1) Buka satu halaman. 2) Ikuti gambar yang disentuh/dilihat anak. 3) Sebut namanya satu kali. 4) Jeda 3–5 detik sebelum lanjut.</x:v>
      </x:c>
      <x:c r="P17" s="34" t="str">
        <x:v>Menatap gambar; menyentuh; bersuara; melihat caregiver.</x:v>
      </x:c>
      <x:c r="Q17" s="34" t="str">
        <x:v>Satu gambar saja.</x:v>
      </x:c>
      <x:c r="R17" s="34" t="str">
        <x:v>Tambahkan satu suara/aksi sederhana terkait gambar.</x:v>
      </x:c>
      <x:c r="S17" s="34" t="str">
        <x:v>Board book kokoh; awasi mouthing; tidak ada bagian lepas.</x:v>
      </x:c>
      <x:c r="T17" s="34" t="str">
        <x:v>Hentikan bila kehilangan minat.</x:v>
      </x:c>
      <x:c r="U17" s="34" t="str">
        <x:v>Prematur: visual sederhana.</x:v>
      </x:c>
      <x:c r="V17" s="34" t="str">
        <x:v>SRC_WHO_CCD_9_12; SRC_AAP_DEV_12M</x:v>
      </x:c>
      <x:c r="W17" s="34" t="str">
        <x:v>CCD 9–12 bulan menekankan naming things/people; AAP mendukung reading/talking.</x:v>
      </x:c>
      <x:c r="X17" s="34" t="str">
        <x:v>source_checked</x:v>
      </x:c>
      <x:c r="Y17" s="34" t="str"/>
      <x:c r="Z17" s="34" t="str"/>
      <x:c r="AA17" s="34" t="str">
        <x:v>v0.4</x:v>
      </x:c>
    </x:row>
    <x:row r="18">
      <x:c r="A18" s="34" t="str">
        <x:v>ACT109</x:v>
      </x:c>
      <x:c r="B18" s="34" t="str">
        <x:v>Balas Babble seperti Percakapan</x:v>
      </x:c>
      <x:c r="C18" s="34" t="str">
        <x:v>10–12 bulan</x:v>
      </x:c>
      <x:c r="D18" s="34" t="n">
        <x:v>301</x:v>
      </x:c>
      <x:c r="E18" s="34" t="n">
        <x:v>390</x:v>
      </x:c>
      <x:c r="F18" s="34" t="n">
        <x:v>10</x:v>
      </x:c>
      <x:c r="G18" s="34" t="n">
        <x:v>12</x:v>
      </x:c>
      <x:c r="H18" s="34" t="str">
        <x:v>Bahasa &amp; Komunikasi</x:v>
      </x:c>
      <x:c r="I18" s="34" t="str">
        <x:v>Sosial &amp; Emosi</x:v>
      </x:c>
      <x:c r="J18" s="34" t="str">
        <x:v>komunikasi</x:v>
      </x:c>
      <x:c r="K18" s="34" t="n">
        <x:v>5</x:v>
      </x:c>
      <x:c r="L18" s="34" t="str">
        <x:v>Tidak perlu alat</x:v>
      </x:c>
      <x:c r="M18" s="34" t="str">
        <x:v>Memberi kesempatan mengembangkan pola bergiliran, intonasi, dan perhatian sosial melalui suara.</x:v>
      </x:c>
      <x:c r="N18" s="34" t="str">
        <x:v>Caregiver merespons babbling seolah percakapan tanpa menuntut kata tertentu.</x:v>
      </x:c>
      <x:c r="O18" s="34" t="str">
        <x:v>1) Dengarkan babble. 2) Balas dengan kalimat pendek atau tiru sebagian bunyi. 3) Jeda. 4) Ikuti giliran berikutnya.</x:v>
      </x:c>
      <x:c r="P18" s="34" t="str">
        <x:v>Babble berintonasi; jeda; menatap; tersenyum; suara balasan.</x:v>
      </x:c>
      <x:c r="Q18" s="34" t="str">
        <x:v>Tiru satu bunyi.</x:v>
      </x:c>
      <x:c r="R18" s="34" t="str">
        <x:v>Tambahkan satu kata familiar setelah babble.</x:v>
      </x:c>
      <x:c r="S18" s="34" t="str">
        <x:v>Jangan mengoreksi bunyi atau memaksa pengulangan.</x:v>
      </x:c>
      <x:c r="T18" s="34" t="str">
        <x:v>Hentikan bila anak lelah/tidak tertarik.</x:v>
      </x:c>
      <x:c r="U18" s="34" t="str">
        <x:v>Prematur: ikuti cue.</x:v>
      </x:c>
      <x:c r="V18" s="34" t="str">
        <x:v>SRC_AAP_DEV_12M; SRC_CDC_1Y_2026; SRC_UNICEF_CCD</x:v>
      </x:c>
      <x:c r="W18" s="34" t="str">
        <x:v>Selaras dengan babbling dan responsive communication menjelang 1 tahun.</x:v>
      </x:c>
      <x:c r="X18" s="34" t="str">
        <x:v>source_checked</x:v>
      </x:c>
      <x:c r="Y18" s="34" t="str"/>
      <x:c r="Z18" s="34" t="str"/>
      <x:c r="AA18" s="34" t="str">
        <x:v>v0.4</x:v>
      </x:c>
    </x:row>
    <x:row r="19">
      <x:c r="A19" s="34" t="str">
        <x:v>ACT110</x:v>
      </x:c>
      <x:c r="B19" s="34" t="str">
        <x:v>Kata + Gesture untuk 'Lagi' atau 'Selesai'</x:v>
      </x:c>
      <x:c r="C19" s="34" t="str">
        <x:v>11–12 bulan</x:v>
      </x:c>
      <x:c r="D19" s="34" t="n">
        <x:v>331</x:v>
      </x:c>
      <x:c r="E19" s="34" t="n">
        <x:v>390</x:v>
      </x:c>
      <x:c r="F19" s="34" t="n">
        <x:v>11</x:v>
      </x:c>
      <x:c r="G19" s="34" t="n">
        <x:v>12</x:v>
      </x:c>
      <x:c r="H19" s="34" t="str">
        <x:v>Bahasa &amp; Komunikasi</x:v>
      </x:c>
      <x:c r="I19" s="34" t="str">
        <x:v>Sosial &amp; Emosi</x:v>
      </x:c>
      <x:c r="J19" s="34" t="str">
        <x:v>gesture</x:v>
      </x:c>
      <x:c r="K19" s="34" t="n">
        <x:v>5</x:v>
      </x:c>
      <x:c r="L19" s="34" t="str">
        <x:v>Mainan/aktivitas favorit</x:v>
      </x:c>
      <x:c r="M19" s="34" t="str">
        <x:v>Memberi kesempatan menghubungkan kata fungsional dengan gesture sederhana dalam situasi nyata.</x:v>
      </x:c>
      <x:c r="N19" s="34" t="str">
        <x:v>Gesture dan kata lebih mudah dipahami ketika muncul berulang dalam konteks yang bermakna.</x:v>
      </x:c>
      <x:c r="O19" s="34" t="str">
        <x:v>1) Setelah satu putaran permainan, berkata 'lagi?' sambil gesture sederhana yang konsisten. 2) Tunggu respons. 3) Jika anak menunjukkan minat, ulangi. Jika menolak, hormati.</x:v>
      </x:c>
      <x:c r="P19" s="34" t="str">
        <x:v>Gesture; suara; gerak tubuh mendekat/menolak; perhatian pada caregiver.</x:v>
      </x:c>
      <x:c r="Q19" s="34" t="str">
        <x:v>Gunakan kata saja dengan ekspresi wajah.</x:v>
      </x:c>
      <x:c r="R19" s="34" t="str">
        <x:v>Gunakan gesture konsisten pada beberapa rutinitas.</x:v>
      </x:c>
      <x:c r="S19" s="34" t="str">
        <x:v>Jangan memaksa anak melanjutkan aktivitas; hormati tanda selesai.</x:v>
      </x:c>
      <x:c r="T19" s="34" t="str">
        <x:v>Hentikan ketika anak menunjukkan tidak ingin lanjut.</x:v>
      </x:c>
      <x:c r="U19" s="34" t="str">
        <x:v>Prematur: ikuti cue.</x:v>
      </x:c>
      <x:c r="V19" s="34" t="str">
        <x:v>SRC_WHO_CCD_9_12; SRC_UNICEF_CCD</x:v>
      </x:c>
      <x:c r="W19" s="34" t="str">
        <x:v>Responsive communication dan modeling gestures dalam konteks sehari-hari.</x:v>
      </x:c>
      <x:c r="X19" s="34" t="str">
        <x:v>source_checked</x:v>
      </x:c>
      <x:c r="Y19" s="34" t="str"/>
      <x:c r="Z19" s="34" t="str"/>
      <x:c r="AA19" s="34" t="str">
        <x:v>v0.4</x:v>
      </x:c>
    </x:row>
    <x:row r="20">
      <x:c r="A20" s="34" t="str">
        <x:v>ACT111</x:v>
      </x:c>
      <x:c r="B20" s="34" t="str">
        <x:v>Pat-a-Cake / Tepuk Bergantian</x:v>
      </x:c>
      <x:c r="C20" s="34" t="str">
        <x:v>10–12 bulan</x:v>
      </x:c>
      <x:c r="D20" s="34" t="n">
        <x:v>301</x:v>
      </x:c>
      <x:c r="E20" s="34" t="n">
        <x:v>390</x:v>
      </x:c>
      <x:c r="F20" s="34" t="n">
        <x:v>10</x:v>
      </x:c>
      <x:c r="G20" s="34" t="n">
        <x:v>12</x:v>
      </x:c>
      <x:c r="H20" s="34" t="str">
        <x:v>Sosial &amp; Emosi</x:v>
      </x:c>
      <x:c r="I20" s="34" t="str">
        <x:v>Bahasa &amp; Komunikasi</x:v>
      </x:c>
      <x:c r="J20" s="34" t="str">
        <x:v>sosial</x:v>
      </x:c>
      <x:c r="K20" s="34" t="n">
        <x:v>5</x:v>
      </x:c>
      <x:c r="L20" s="34" t="str">
        <x:v>Tidak perlu alat</x:v>
      </x:c>
      <x:c r="M20" s="34" t="str">
        <x:v>Memberi kesempatan menikmati permainan sosial berulang, gesture, ritme, dan perhatian bersama.</x:v>
      </x:c>
      <x:c r="N20" s="34" t="str">
        <x:v>CDC mencantumkan permainan seperti pat-a-cake sebagai milestone sosial 1 tahun.</x:v>
      </x:c>
      <x:c r="O20" s="34" t="str">
        <x:v>1) Tepuk tangan caregiver sambil menyanyikan lagu pendek. 2) Jeda agar anak melihat/meniru. 3) Respons pada gerakan anak tanpa memaksa.</x:v>
      </x:c>
      <x:c r="P20" s="34" t="str">
        <x:v>Melihat tangan; tersenyum; mencoba tepuk; bersuara; menunggu giliran.</x:v>
      </x:c>
      <x:c r="Q20" s="34" t="str">
        <x:v>Caregiver tepuk sendiri.</x:v>
      </x:c>
      <x:c r="R20" s="34" t="str">
        <x:v>Tambahkan satu gesture lain seperti dadah.</x:v>
      </x:c>
      <x:c r="S20" s="34" t="str">
        <x:v>Jangan memegang tangan anak untuk memaksa gerakan.</x:v>
      </x:c>
      <x:c r="T20" s="34" t="str">
        <x:v>Hentikan bila anak tidak nyaman.</x:v>
      </x:c>
      <x:c r="U20" s="34" t="str">
        <x:v>Prematur: singkatkan durasi.</x:v>
      </x:c>
      <x:c r="V20" s="34" t="str">
        <x:v>SRC_CDC_1Y_2026; SRC_AAP_DEV_12M</x:v>
      </x:c>
      <x:c r="W20" s="34" t="str">
        <x:v>CDC 1 tahun: plays games with you, like pat-a-cake.</x:v>
      </x:c>
      <x:c r="X20" s="34" t="str">
        <x:v>source_checked</x:v>
      </x:c>
      <x:c r="Y20" s="34" t="str"/>
      <x:c r="Z20" s="34" t="str"/>
      <x:c r="AA20" s="34" t="str">
        <x:v>v0.4</x:v>
      </x:c>
    </x:row>
    <x:row r="21">
      <x:c r="A21" s="34" t="str">
        <x:v>ACT112</x:v>
      </x:c>
      <x:c r="B21" s="34" t="str">
        <x:v>Beri–Terima Mainan</x:v>
      </x:c>
      <x:c r="C21" s="34" t="str">
        <x:v>10–12 bulan</x:v>
      </x:c>
      <x:c r="D21" s="34" t="n">
        <x:v>301</x:v>
      </x:c>
      <x:c r="E21" s="34" t="n">
        <x:v>390</x:v>
      </x:c>
      <x:c r="F21" s="34" t="n">
        <x:v>10</x:v>
      </x:c>
      <x:c r="G21" s="34" t="n">
        <x:v>12</x:v>
      </x:c>
      <x:c r="H21" s="34" t="str">
        <x:v>Sosial &amp; Emosi</x:v>
      </x:c>
      <x:c r="I21" s="34" t="str">
        <x:v>Tangan &amp; Koordinasi</x:v>
      </x:c>
      <x:c r="J21" s="34" t="str">
        <x:v>sosial</x:v>
      </x:c>
      <x:c r="K21" s="34" t="n">
        <x:v>6</x:v>
      </x:c>
      <x:c r="L21" s="34" t="str">
        <x:v>Mainan besar favorit</x:v>
      </x:c>
      <x:c r="M21" s="34" t="str">
        <x:v>Memberi kesempatan mengalami giliran sosial dan berbagi perhatian pada benda yang sama.</x:v>
      </x:c>
      <x:c r="N21" s="34" t="str">
        <x:v>Permainan beri-terima adalah bentuk sederhana turn-taking; anak tidak harus selalu mau menyerahkan mainan.</x:v>
      </x:c>
      <x:c r="O21" s="34" t="str">
        <x:v>1) Berikan mainan. 2) Setelah anak mengeksplorasi, ulurkan tangan dan minta dengan lembut. 3) Jika diberikan, ucapkan terima kasih lalu kembalikan.</x:v>
      </x:c>
      <x:c r="P21" s="34" t="str">
        <x:v>Memberi; menerima; mempertahankan; melihat caregiver; tersenyum.</x:v>
      </x:c>
      <x:c r="Q21" s="34" t="str">
        <x:v>Caregiver hanya memberi lalu menerima jika anak menawarkan.</x:v>
      </x:c>
      <x:c r="R21" s="34" t="str">
        <x:v>Lakukan dua putaran.</x:v>
      </x:c>
      <x:c r="S21" s="34" t="str">
        <x:v>Jangan merebut benda atau memaksa berbagi.</x:v>
      </x:c>
      <x:c r="T21" s="34" t="str">
        <x:v>Hentikan bila anak frustrasi.</x:v>
      </x:c>
      <x:c r="U21" s="34" t="str">
        <x:v>Prematur: sama.</x:v>
      </x:c>
      <x:c r="V21" s="34" t="str">
        <x:v>SRC_UNICEF_CCD; SRC_AAP_DEV_12M</x:v>
      </x:c>
      <x:c r="W21" s="34" t="str">
        <x:v>Responsive turn-taking dan imitation/play interaction.</x:v>
      </x:c>
      <x:c r="X21" s="34" t="str">
        <x:v>source_checked</x:v>
      </x:c>
      <x:c r="Y21" s="34" t="str"/>
      <x:c r="Z21" s="34" t="str"/>
      <x:c r="AA21" s="34" t="str">
        <x:v>v0.4</x:v>
      </x:c>
    </x:row>
    <x:row r="22">
      <x:c r="A22" s="34" t="str">
        <x:v>ACT113</x:v>
      </x:c>
      <x:c r="B22" s="34" t="str">
        <x:v>Tiru Gerakan Sederhana Ayah/Bunda</x:v>
      </x:c>
      <x:c r="C22" s="34" t="str">
        <x:v>10–12 bulan</x:v>
      </x:c>
      <x:c r="D22" s="34" t="n">
        <x:v>301</x:v>
      </x:c>
      <x:c r="E22" s="34" t="n">
        <x:v>390</x:v>
      </x:c>
      <x:c r="F22" s="34" t="n">
        <x:v>10</x:v>
      </x:c>
      <x:c r="G22" s="34" t="n">
        <x:v>12</x:v>
      </x:c>
      <x:c r="H22" s="34" t="str">
        <x:v>Sosial &amp; Emosi</x:v>
      </x:c>
      <x:c r="I22" s="34" t="str">
        <x:v>Berpikir &amp; Eksplorasi</x:v>
      </x:c>
      <x:c r="J22" s="34" t="str">
        <x:v>sosial</x:v>
      </x:c>
      <x:c r="K22" s="34" t="n">
        <x:v>5</x:v>
      </x:c>
      <x:c r="L22" s="34" t="str">
        <x:v>Tidak perlu alat</x:v>
      </x:c>
      <x:c r="M22" s="34" t="str">
        <x:v>Memberi kesempatan belajar melalui observasi dan imitasi gerakan sederhana dalam suasana bermain.</x:v>
      </x:c>
      <x:c r="N22" s="34" t="str">
        <x:v>Imitasi berkembang melalui pengulangan yang responsif; tidak perlu anak meniru pada percobaan pertama.</x:v>
      </x:c>
      <x:c r="O22" s="34" t="str">
        <x:v>1) Pilih satu gesture seperti tepuk meja lembut atau angkat tangan. 2) Lakukan sekali. 3) Jeda. 4) Balas bila anak mencoba.</x:v>
      </x:c>
      <x:c r="P22" s="34" t="str">
        <x:v>Melihat gerakan; mencoba gesture; tersenyum; mengulang.</x:v>
      </x:c>
      <x:c r="Q22" s="34" t="str">
        <x:v>Gunakan gesture sangat sederhana.</x:v>
      </x:c>
      <x:c r="R22" s="34" t="str">
        <x:v>Ganti gesture di sesi lain, bukan sekaligus.</x:v>
      </x:c>
      <x:c r="S22" s="34" t="str">
        <x:v>Hindari gerakan berbahaya atau memukul benda keras.</x:v>
      </x:c>
      <x:c r="T22" s="34" t="str">
        <x:v>Hentikan bila anak tidak tertarik.</x:v>
      </x:c>
      <x:c r="U22" s="34" t="str">
        <x:v>Prematur: ikuti cue.</x:v>
      </x:c>
      <x:c r="V22" s="34" t="str">
        <x:v>SRC_WHO_CCD_9_12; SRC_UNICEF_CCD</x:v>
      </x:c>
      <x:c r="W22" s="34" t="str">
        <x:v>CCD mendorong modeling gestures dan responsive imitation.</x:v>
      </x:c>
      <x:c r="X22" s="34" t="str">
        <x:v>source_checked</x:v>
      </x:c>
      <x:c r="Y22" s="34" t="str"/>
      <x:c r="Z22" s="34" t="str"/>
      <x:c r="AA22" s="34" t="str">
        <x:v>v0.4</x:v>
      </x:c>
    </x:row>
    <x:row r="23">
      <x:c r="A23" s="34" t="str">
        <x:v>ACT114</x:v>
      </x:c>
      <x:c r="B23" s="34" t="str">
        <x:v>Lap Meja Bersama</x:v>
      </x:c>
      <x:c r="C23" s="34" t="str">
        <x:v>11–12 bulan</x:v>
      </x:c>
      <x:c r="D23" s="34" t="n">
        <x:v>331</x:v>
      </x:c>
      <x:c r="E23" s="34" t="n">
        <x:v>390</x:v>
      </x:c>
      <x:c r="F23" s="34" t="n">
        <x:v>11</x:v>
      </x:c>
      <x:c r="G23" s="34" t="n">
        <x:v>12</x:v>
      </x:c>
      <x:c r="H23" s="34" t="str">
        <x:v>Sosial &amp; Emosi</x:v>
      </x:c>
      <x:c r="I23" s="34" t="str">
        <x:v>Berpikir &amp; Eksplorasi</x:v>
      </x:c>
      <x:c r="J23" s="34" t="str">
        <x:v>sosial</x:v>
      </x:c>
      <x:c r="K23" s="34" t="n">
        <x:v>5</x:v>
      </x:c>
      <x:c r="L23" s="34" t="str">
        <x:v>Kain besar bersih; permukaan rendah dan aman</x:v>
      </x:c>
      <x:c r="M23" s="34" t="str">
        <x:v>Memberi kesempatan meniru kegiatan sehari-hari dan merasa ikut terlibat dalam rutinitas keluarga.</x:v>
      </x:c>
      <x:c r="N23" s="34" t="str">
        <x:v>Imitasi tindakan sederhana pada benda dapat menjadi permainan sosial yang relevan dengan kehidupan sehari-hari.</x:v>
      </x:c>
      <x:c r="O23" s="34" t="str">
        <x:v>1) Caregiver mengelap meja rendah dengan kain. 2) Berikan kain lain kepada anak. 3) Biarkan anak mengusap, memegang, atau sekadar melihat.</x:v>
      </x:c>
      <x:c r="P23" s="34" t="str">
        <x:v>Meniru mengusap; memegang kain; melihat caregiver; tersenyum.</x:v>
      </x:c>
      <x:c r="Q23" s="34" t="str">
        <x:v>Caregiver melakukan, anak mengamati.</x:v>
      </x:c>
      <x:c r="R23" s="34" t="str">
        <x:v>Anak memegang kain sendiri.</x:v>
      </x:c>
      <x:c r="S23" s="34" t="str">
        <x:v>Kain besar tanpa tali; tidak ada cairan pembersih/kimia; permukaan bebas benda panas/tajam.</x:v>
      </x:c>
      <x:c r="T23" s="34" t="str">
        <x:v>Hentikan bila kain menuju wajah atau area menjadi tidak aman.</x:v>
      </x:c>
      <x:c r="U23" s="34" t="str">
        <x:v>Prematur: sama.</x:v>
      </x:c>
      <x:c r="V23" s="34" t="str">
        <x:v>SRC_UNICEF_CCD; SRC_AAP_DEV_12M</x:v>
      </x:c>
      <x:c r="W23" s="34" t="str">
        <x:v>Turunan aman dari imitation of everyday actions.</x:v>
      </x:c>
      <x:c r="X23" s="34" t="str">
        <x:v>source_checked</x:v>
      </x:c>
      <x:c r="Y23" s="34" t="str"/>
      <x:c r="Z23" s="34" t="str"/>
      <x:c r="AA23" s="34" t="str">
        <x:v>v0.4</x:v>
      </x:c>
    </x:row>
    <x:row r="24">
      <x:c r="A24" s="34" t="str">
        <x:v>ACT115</x:v>
      </x:c>
      <x:c r="B24" s="34" t="str">
        <x:v>Salam dan Sapa Orang Familiar</x:v>
      </x:c>
      <x:c r="C24" s="34" t="str">
        <x:v>10–12 bulan</x:v>
      </x:c>
      <x:c r="D24" s="34" t="n">
        <x:v>301</x:v>
      </x:c>
      <x:c r="E24" s="34" t="n">
        <x:v>390</x:v>
      </x:c>
      <x:c r="F24" s="34" t="n">
        <x:v>10</x:v>
      </x:c>
      <x:c r="G24" s="34" t="n">
        <x:v>12</x:v>
      </x:c>
      <x:c r="H24" s="34" t="str">
        <x:v>Sosial &amp; Emosi</x:v>
      </x:c>
      <x:c r="I24" s="34" t="str">
        <x:v>Bahasa &amp; Komunikasi</x:v>
      </x:c>
      <x:c r="J24" s="34" t="str">
        <x:v>sosial</x:v>
      </x:c>
      <x:c r="K24" s="34" t="n">
        <x:v>5</x:v>
      </x:c>
      <x:c r="L24" s="34" t="str">
        <x:v>Orang familiar</x:v>
      </x:c>
      <x:c r="M24" s="34" t="str">
        <x:v>Memberi kesempatan menghubungkan wajah familiar, sapaan, gesture, dan respons sosial dalam konteks nyata.</x:v>
      </x:c>
      <x:c r="N24" s="34" t="str">
        <x:v>Rutinitas salam memberi pola sosial yang konsisten tanpa memaksa interaksi dengan orang asing.</x:v>
      </x:c>
      <x:c r="O24" s="34" t="str">
        <x:v>1) Saat orang familiar datang, caregiver berkata 'Halo, ini Nenek/Ayah'. 2) Senyum dan tunggu respons anak. 3) Jangan memaksa anak digendong.</x:v>
      </x:c>
      <x:c r="P24" s="34" t="str">
        <x:v>Menatap; tersenyum; gesture; bersuara; mendekat/menjauh.</x:v>
      </x:c>
      <x:c r="Q24" s="34" t="str">
        <x:v>Satu orang familiar.</x:v>
      </x:c>
      <x:c r="R24" s="34" t="str">
        <x:v>Tambahkan gesture dadah saat selesai.</x:v>
      </x:c>
      <x:c r="S24" s="34" t="str">
        <x:v>Hormati kehati-hatian anak; jangan memaksa kontak fisik.</x:v>
      </x:c>
      <x:c r="T24" s="34" t="str">
        <x:v>Hentikan bila anak distress.</x:v>
      </x:c>
      <x:c r="U24" s="34" t="str">
        <x:v>Prematur: batasi rangsang sosial.</x:v>
      </x:c>
      <x:c r="V24" s="34" t="str">
        <x:v>SRC_AAP_DEV_12M; SRC_WHO_CCD_9_12</x:v>
      </x:c>
      <x:c r="W24" s="34" t="str">
        <x:v>Selaras dengan social interaction dan naming familiar people.</x:v>
      </x:c>
      <x:c r="X24" s="34" t="str">
        <x:v>source_checked</x:v>
      </x:c>
      <x:c r="Y24" s="34" t="str"/>
      <x:c r="Z24" s="34" t="str"/>
      <x:c r="AA24" s="34" t="str">
        <x:v>v0.4</x:v>
      </x:c>
    </x:row>
    <x:row r="25">
      <x:c r="A25" s="34" t="str">
        <x:v>ACT116</x:v>
      </x:c>
      <x:c r="B25" s="34" t="str">
        <x:v>Gelinding Bola Bergiliran</x:v>
      </x:c>
      <x:c r="C25" s="34" t="str">
        <x:v>10–12 bulan</x:v>
      </x:c>
      <x:c r="D25" s="34" t="n">
        <x:v>301</x:v>
      </x:c>
      <x:c r="E25" s="34" t="n">
        <x:v>390</x:v>
      </x:c>
      <x:c r="F25" s="34" t="n">
        <x:v>10</x:v>
      </x:c>
      <x:c r="G25" s="34" t="n">
        <x:v>12</x:v>
      </x:c>
      <x:c r="H25" s="34" t="str">
        <x:v>Sosial &amp; Emosi</x:v>
      </x:c>
      <x:c r="I25" s="34" t="str">
        <x:v>Gerak Tubuh</x:v>
      </x:c>
      <x:c r="J25" s="34" t="str">
        <x:v>sosial</x:v>
      </x:c>
      <x:c r="K25" s="34" t="n">
        <x:v>6</x:v>
      </x:c>
      <x:c r="L25" s="34" t="str">
        <x:v>Bola besar ringan</x:v>
      </x:c>
      <x:c r="M25" s="34" t="str">
        <x:v>Memberi kesempatan mengalami giliran sederhana sambil bergerak dan berbagi perhatian dengan caregiver.</x:v>
      </x:c>
      <x:c r="N25" s="34" t="str">
        <x:v>Turn-taking melalui objek konkret dapat membantu interaksi sosial tanpa tuntutan bahasa.</x:v>
      </x:c>
      <x:c r="O25" s="34" t="str">
        <x:v>1) Duduk berhadapan. 2) Gelindingkan bola perlahan. 3) Bila anak menyentuh/mendorong, respons dan gelindingkan kembali.</x:v>
      </x:c>
      <x:c r="P25" s="34" t="str">
        <x:v>Menunggu bola; mendorong; melihat caregiver; tersenyum; mengejar bola.</x:v>
      </x:c>
      <x:c r="Q25" s="34" t="str">
        <x:v>Caregiver gelindingkan dan ambil kembali.</x:v>
      </x:c>
      <x:c r="R25" s="34" t="str">
        <x:v>Biarkan anak memilih arah dorongan.</x:v>
      </x:c>
      <x:c r="S25" s="34" t="str">
        <x:v>Bola besar dan ringan; area lantai aman.</x:v>
      </x:c>
      <x:c r="T25" s="34" t="str">
        <x:v>Hentikan bila bola masuk area berbahaya.</x:v>
      </x:c>
      <x:c r="U25" s="34" t="str">
        <x:v>Prematur: jarak dekat.</x:v>
      </x:c>
      <x:c r="V25" s="34" t="str">
        <x:v>SRC_UNICEF_CCD; SRC_AAP_DEV_12M</x:v>
      </x:c>
      <x:c r="W25" s="34" t="str">
        <x:v>Responsive turn-taking dan play interaction.</x:v>
      </x:c>
      <x:c r="X25" s="34" t="str">
        <x:v>source_checked</x:v>
      </x:c>
      <x:c r="Y25" s="34" t="str"/>
      <x:c r="Z25" s="34" t="str"/>
      <x:c r="AA25" s="34" t="str">
        <x:v>v0.4</x:v>
      </x:c>
    </x:row>
    <x:row r="26">
      <x:c r="A26" s="34" t="str">
        <x:v>ACT117</x:v>
      </x:c>
      <x:c r="B26" s="34" t="str">
        <x:v>Cari Mainan di Bawah Kain</x:v>
      </x:c>
      <x:c r="C26" s="34" t="str">
        <x:v>10–12 bulan</x:v>
      </x:c>
      <x:c r="D26" s="34" t="n">
        <x:v>301</x:v>
      </x:c>
      <x:c r="E26" s="34" t="n">
        <x:v>390</x:v>
      </x:c>
      <x:c r="F26" s="34" t="n">
        <x:v>10</x:v>
      </x:c>
      <x:c r="G26" s="34" t="n">
        <x:v>12</x:v>
      </x:c>
      <x:c r="H26" s="34" t="str">
        <x:v>Berpikir &amp; Eksplorasi</x:v>
      </x:c>
      <x:c r="I26" s="34" t="str">
        <x:v>Tangan &amp; Koordinasi</x:v>
      </x:c>
      <x:c r="J26" s="34" t="str">
        <x:v>eksplorasi</x:v>
      </x:c>
      <x:c r="K26" s="34" t="n">
        <x:v>6</x:v>
      </x:c>
      <x:c r="L26" s="34" t="str">
        <x:v>Mainan besar favorit; kain besar yang dipegang caregiver</x:v>
      </x:c>
      <x:c r="M26" s="34" t="str">
        <x:v>Memberi kesempatan mencari benda yang baru saja dilihat tersembunyi dan mempertahankan perhatian pada tujuan sederhana.</x:v>
      </x:c>
      <x:c r="N26" s="34" t="str">
        <x:v>WHO/UNICEF secara spesifik merekomendasikan menyembunyikan mainan favorit di bawah kain atau kotak untuk usia 9–12 bulan.</x:v>
      </x:c>
      <x:c r="O26" s="34" t="str">
        <x:v>1) Tunjukkan mainan. 2) Tutup dengan kain di depan anak. 3) Tanyakan ringan 'di mana?'. 4) Biarkan anak menarik kain/mencari.</x:v>
      </x:c>
      <x:c r="P26" s="34" t="str">
        <x:v>Menarik kain; mencari; menemukan; mengulang permainan.</x:v>
      </x:c>
      <x:c r="Q26" s="34" t="str">
        <x:v>Sisakan sebagian mainan terlihat.</x:v>
      </x:c>
      <x:c r="R26" s="34" t="str">
        <x:v>Tutup penuh sesaat setelah anak memahami permainan.</x:v>
      </x:c>
      <x:c r="S26" s="34" t="str">
        <x:v>Kain selalu diawasi/dipegang; jangan pernah menutup wajah anak.</x:v>
      </x:c>
      <x:c r="T26" s="34" t="str">
        <x:v>Hentikan bila kain menuju jalan napas atau anak distress.</x:v>
      </x:c>
      <x:c r="U26" s="34" t="str">
        <x:v>Prematur: mulai partial cover.</x:v>
      </x:c>
      <x:c r="V26" s="34" t="str">
        <x:v>SRC_CDC_1Y_2026; SRC_WHO_CCD_9_12</x:v>
      </x:c>
      <x:c r="W26" s="34" t="str">
        <x:v>CDC 1 tahun: looks for things seen hidden; CCD 9–12 memberi permainan hide-and-find.</x:v>
      </x:c>
      <x:c r="X26" s="34" t="str">
        <x:v>source_checked</x:v>
      </x:c>
      <x:c r="Y26" s="34" t="str"/>
      <x:c r="Z26" s="34" t="str"/>
      <x:c r="AA26" s="34" t="str">
        <x:v>v0.4</x:v>
      </x:c>
    </x:row>
    <x:row r="27">
      <x:c r="A27" s="34" t="str">
        <x:v>ACT118</x:v>
      </x:c>
      <x:c r="B27" s="34" t="str">
        <x:v>Cari Mainan di Bawah Kotak Terbuka</x:v>
      </x:c>
      <x:c r="C27" s="34" t="str">
        <x:v>10–12 bulan</x:v>
      </x:c>
      <x:c r="D27" s="34" t="n">
        <x:v>301</x:v>
      </x:c>
      <x:c r="E27" s="34" t="n">
        <x:v>390</x:v>
      </x:c>
      <x:c r="F27" s="34" t="n">
        <x:v>10</x:v>
      </x:c>
      <x:c r="G27" s="34" t="n">
        <x:v>12</x:v>
      </x:c>
      <x:c r="H27" s="34" t="str">
        <x:v>Berpikir &amp; Eksplorasi</x:v>
      </x:c>
      <x:c r="I27" s="34" t="str">
        <x:v>Tangan &amp; Koordinasi</x:v>
      </x:c>
      <x:c r="J27" s="34" t="str">
        <x:v>eksplorasi</x:v>
      </x:c>
      <x:c r="K27" s="34" t="n">
        <x:v>5</x:v>
      </x:c>
      <x:c r="L27" s="34" t="str">
        <x:v>Mainan besar; kotak ringan tanpa tutup dan tanpa staples</x:v>
      </x:c>
      <x:c r="M27" s="34" t="str">
        <x:v>Memberi kesempatan mencoba solusi sederhana untuk mendapatkan benda yang tersembunyi.</x:v>
      </x:c>
      <x:c r="N27" s="34" t="str">
        <x:v>Variasi kotak memberi pengalaman pencarian dengan aksi berbeda dari menarik kain.</x:v>
      </x:c>
      <x:c r="O27" s="34" t="str">
        <x:v>1) Tunjukkan mainan. 2) Tutup dengan kotak ringan yang mudah diangkat/digeser. 3) Biarkan anak mengangkat atau mendorong kotak.</x:v>
      </x:c>
      <x:c r="P27" s="34" t="str">
        <x:v>Mendorong/mengangkat kotak; mencari; menemukan mainan.</x:v>
      </x:c>
      <x:c r="Q27" s="34" t="str">
        <x:v>Sisakan sebagian mainan keluar.</x:v>
      </x:c>
      <x:c r="R27" s="34" t="str">
        <x:v>Kotak menutup penuh tetapi sangat ringan.</x:v>
      </x:c>
      <x:c r="S27" s="34" t="str">
        <x:v>Kotak tidak boleh cukup besar untuk menjebak kepala/tubuh; tanpa staples/tali; selalu diawasi.</x:v>
      </x:c>
      <x:c r="T27" s="34" t="str">
        <x:v>Hentikan bila kotak terbalik tidak aman.</x:v>
      </x:c>
      <x:c r="U27" s="34" t="str">
        <x:v>Prematur: partial cover.</x:v>
      </x:c>
      <x:c r="V27" s="34" t="str">
        <x:v>SRC_WHO_CCD_9_12; SRC_CDC_1Y_2026</x:v>
      </x:c>
      <x:c r="W27" s="34" t="str">
        <x:v>CCD menyebut cloth or box untuk hide-and-find usia 9–12 bulan.</x:v>
      </x:c>
      <x:c r="X27" s="34" t="str">
        <x:v>source_checked</x:v>
      </x:c>
      <x:c r="Y27" s="34" t="str"/>
      <x:c r="Z27" s="34" t="str"/>
      <x:c r="AA27" s="34" t="str">
        <x:v>v0.4</x:v>
      </x:c>
    </x:row>
    <x:row r="28">
      <x:c r="A28" s="34" t="str">
        <x:v>ACT119</x:v>
      </x:c>
      <x:c r="B28" s="34" t="str">
        <x:v>Pilih Satu dari Dua Mainan</x:v>
      </x:c>
      <x:c r="C28" s="34" t="str">
        <x:v>10–12 bulan</x:v>
      </x:c>
      <x:c r="D28" s="34" t="n">
        <x:v>301</x:v>
      </x:c>
      <x:c r="E28" s="34" t="n">
        <x:v>390</x:v>
      </x:c>
      <x:c r="F28" s="34" t="n">
        <x:v>10</x:v>
      </x:c>
      <x:c r="G28" s="34" t="n">
        <x:v>12</x:v>
      </x:c>
      <x:c r="H28" s="34" t="str">
        <x:v>Berpikir &amp; Eksplorasi</x:v>
      </x:c>
      <x:c r="I28" s="34" t="str">
        <x:v>Bahasa &amp; Komunikasi</x:v>
      </x:c>
      <x:c r="J28" s="34" t="str">
        <x:v>eksplorasi</x:v>
      </x:c>
      <x:c r="K28" s="34" t="n">
        <x:v>5</x:v>
      </x:c>
      <x:c r="L28" s="34" t="str">
        <x:v>Dua mainan besar yang familiar</x:v>
      </x:c>
      <x:c r="M28" s="34" t="str">
        <x:v>Memberi kesempatan menunjukkan minat dan membuat pilihan sederhana melalui pandangan, jangkauan tangan, atau gesture.</x:v>
      </x:c>
      <x:c r="N28" s="34" t="str">
        <x:v>Tidak ada pilihan benar; caregiver mengikuti minat anak dan menamai benda yang dipilih.</x:v>
      </x:c>
      <x:c r="O28" s="34" t="str">
        <x:v>1) Tunjukkan dua mainan dengan jarak sama. 2) Tanya 'Mau yang mana?'. 3) Tunggu. 4) Berikan benda yang diraih/dilihat dengan jelas dan sebut namanya.</x:v>
      </x:c>
      <x:c r="P28" s="34" t="str">
        <x:v>Melihat bergantian; meraih satu benda; gesture; bersuara.</x:v>
      </x:c>
      <x:c r="Q28" s="34" t="str">
        <x:v>Tawarkan satu benda saja.</x:v>
      </x:c>
      <x:c r="R28" s="34" t="str">
        <x:v>Ulangi dengan dua benda berbeda di sesi lain.</x:v>
      </x:c>
      <x:c r="S28" s="34" t="str">
        <x:v>Kedua benda aman, besar, tanpa bagian kecil.</x:v>
      </x:c>
      <x:c r="T28" s="34" t="str">
        <x:v>Hentikan bila anak frustrasi.</x:v>
      </x:c>
      <x:c r="U28" s="34" t="str">
        <x:v>Prematur: sama.</x:v>
      </x:c>
      <x:c r="V28" s="34" t="str">
        <x:v>SRC_WHO_CCD_9_12; SRC_UNICEF_CCD</x:v>
      </x:c>
      <x:c r="W28" s="34" t="str">
        <x:v>Responsive caregiving mengikuti minat anak dan menamai objek yang menjadi fokusnya.</x:v>
      </x:c>
      <x:c r="X28" s="34" t="str">
        <x:v>source_checked</x:v>
      </x:c>
      <x:c r="Y28" s="34" t="str"/>
      <x:c r="Z28" s="34" t="str"/>
      <x:c r="AA28" s="34" t="str">
        <x:v>v0.4</x:v>
      </x:c>
    </x:row>
    <x:row r="29">
      <x:c r="A29" s="34" t="str">
        <x:v>ACT120</x:v>
      </x:c>
      <x:c r="B29" s="34" t="str">
        <x:v>Buka Kotak dengan Tutup Longgar</x:v>
      </x:c>
      <x:c r="C29" s="34" t="str">
        <x:v>11–12 bulan</x:v>
      </x:c>
      <x:c r="D29" s="34" t="n">
        <x:v>331</x:v>
      </x:c>
      <x:c r="E29" s="34" t="n">
        <x:v>390</x:v>
      </x:c>
      <x:c r="F29" s="34" t="n">
        <x:v>11</x:v>
      </x:c>
      <x:c r="G29" s="34" t="n">
        <x:v>12</x:v>
      </x:c>
      <x:c r="H29" s="34" t="str">
        <x:v>Berpikir &amp; Eksplorasi</x:v>
      </x:c>
      <x:c r="I29" s="34" t="str">
        <x:v>Tangan &amp; Koordinasi</x:v>
      </x:c>
      <x:c r="J29" s="34" t="str">
        <x:v>problem-solving</x:v>
      </x:c>
      <x:c r="K29" s="34" t="n">
        <x:v>6</x:v>
      </x:c>
      <x:c r="L29" s="34" t="str">
        <x:v>Wadah besar dengan tutup sangat longgar; mainan besar di dalam</x:v>
      </x:c>
      <x:c r="M29" s="34" t="str">
        <x:v>Memberi kesempatan mencoba tindakan sederhana untuk membuka wadah dan menemukan benda.</x:v>
      </x:c>
      <x:c r="N29" s="34" t="str">
        <x:v>Problem-solving pada fase ini sebaiknya sangat sederhana dan aman, dengan solusi yang mudah ditemukan.</x:v>
      </x:c>
      <x:c r="O29" s="34" t="str">
        <x:v>1) Masukkan mainan besar ke wadah. 2) Pasang tutup sangat longgar. 3) Tunjukkan sekali cara mengangkat. 4) Biarkan anak mencoba.</x:v>
      </x:c>
      <x:c r="P29" s="34" t="str">
        <x:v>Memegang tutup; mengangkat/mendorong; melihat isi; mengambil benda.</x:v>
      </x:c>
      <x:c r="Q29" s="34" t="str">
        <x:v>Tutup diletakkan miring.</x:v>
      </x:c>
      <x:c r="R29" s="34" t="str">
        <x:v>Tutup dipasang rata tetapi tidak mengunci.</x:v>
      </x:c>
      <x:c r="S29" s="34" t="str">
        <x:v>Tidak ada tutup kecil, engsel tajam, atau risiko jari terjepit; wadah cukup besar dan terbuka.</x:v>
      </x:c>
      <x:c r="T29" s="34" t="str">
        <x:v>Hentikan bila tutup macet atau jari berisiko terjepit.</x:v>
      </x:c>
      <x:c r="U29" s="34" t="str">
        <x:v>Prematur: mulai tanpa tutup.</x:v>
      </x:c>
      <x:c r="V29" s="34" t="str">
        <x:v>SRC_AAP_DEV_12M; SRC_UNICEF_CCD</x:v>
      </x:c>
      <x:c r="W29" s="34" t="str">
        <x:v>Turunan konservatif dari container exploration dan simple problem solving.</x:v>
      </x:c>
      <x:c r="X29" s="34" t="str">
        <x:v>source_checked</x:v>
      </x:c>
      <x:c r="Y29" s="34" t="str"/>
      <x:c r="Z29" s="34" t="str"/>
      <x:c r="AA29" s="34" t="str">
        <x:v>v0.4</x:v>
      </x:c>
    </x:row>
    <x:row r="30">
      <x:c r="A30" s="34" t="str">
        <x:v>ACT121</x:v>
      </x:c>
      <x:c r="B30" s="34" t="str">
        <x:v>Cocokkan Benda dengan Wadah Besar</x:v>
      </x:c>
      <x:c r="C30" s="34" t="str">
        <x:v>11–12 bulan</x:v>
      </x:c>
      <x:c r="D30" s="34" t="n">
        <x:v>331</x:v>
      </x:c>
      <x:c r="E30" s="34" t="n">
        <x:v>390</x:v>
      </x:c>
      <x:c r="F30" s="34" t="n">
        <x:v>11</x:v>
      </x:c>
      <x:c r="G30" s="34" t="n">
        <x:v>12</x:v>
      </x:c>
      <x:c r="H30" s="34" t="str">
        <x:v>Berpikir &amp; Eksplorasi</x:v>
      </x:c>
      <x:c r="I30" s="34" t="str">
        <x:v>Tangan &amp; Koordinasi</x:v>
      </x:c>
      <x:c r="J30" s="34" t="str">
        <x:v>problem-solving</x:v>
      </x:c>
      <x:c r="K30" s="34" t="n">
        <x:v>6</x:v>
      </x:c>
      <x:c r="L30" s="34" t="str">
        <x:v>Satu wadah lebar; 2 benda besar berbeda bentuk</x:v>
      </x:c>
      <x:c r="M30" s="34" t="str">
        <x:v>Memberi kesempatan mengeksplorasi hubungan ukuran/bentuk secara sederhana saat memasukkan benda ke wadah.</x:v>
      </x:c>
      <x:c r="N30" s="34" t="str">
        <x:v>Tujuannya bukan mencocokkan bentuk dengan benar, tetapi mencoba strategi memasukkan dan mengeluarkan benda.</x:v>
      </x:c>
      <x:c r="O30" s="34" t="str">
        <x:v>1) Berikan wadah lebar dan dua benda besar. 2) Biarkan anak mencoba memasukkan salah satu. 3) Respons pada usahanya tanpa mengoreksi.</x:v>
      </x:c>
      <x:c r="P30" s="34" t="str">
        <x:v>Mencoba orientasi; memasukkan; mengeluarkan; mengganti benda.</x:v>
      </x:c>
      <x:c r="Q30" s="34" t="str">
        <x:v>Satu benda dan wadah sangat lebar.</x:v>
      </x:c>
      <x:c r="R30" s="34" t="str">
        <x:v>Dua benda dengan bentuk berbeda.</x:v>
      </x:c>
      <x:c r="S30" s="34" t="str">
        <x:v>Benda besar, tidak tajam; wadah tidak boleh menutup kepala.</x:v>
      </x:c>
      <x:c r="T30" s="34" t="str">
        <x:v>Hentikan bila anak frustrasi atau alat rusak.</x:v>
      </x:c>
      <x:c r="U30" s="34" t="str">
        <x:v>Prematur: satu benda dulu.</x:v>
      </x:c>
      <x:c r="V30" s="34" t="str">
        <x:v>SRC_CDC_1Y_2026; SRC_AAP_DEV_12M</x:v>
      </x:c>
      <x:c r="W30" s="34" t="str">
        <x:v>CDC 1 tahun menempatkan putting object in container sebagai milestone kognitif; aktivitas dibuat eksploratif.</x:v>
      </x:c>
      <x:c r="X30" s="34" t="str">
        <x:v>source_checked</x:v>
      </x:c>
      <x:c r="Y30" s="34" t="str"/>
      <x:c r="Z30" s="34" t="str"/>
      <x:c r="AA30" s="34" t="str">
        <x:v>v0.4</x:v>
      </x:c>
    </x:row>
    <x:row r="31">
      <x:c r="A31" s="34" t="str">
        <x:v>ACT122</x:v>
      </x:c>
      <x:c r="B31" s="34" t="str">
        <x:v>Tiru Aksi pada Mainan Sebab–Akibat</x:v>
      </x:c>
      <x:c r="C31" s="34" t="str">
        <x:v>10–12 bulan</x:v>
      </x:c>
      <x:c r="D31" s="34" t="n">
        <x:v>301</x:v>
      </x:c>
      <x:c r="E31" s="34" t="n">
        <x:v>390</x:v>
      </x:c>
      <x:c r="F31" s="34" t="n">
        <x:v>10</x:v>
      </x:c>
      <x:c r="G31" s="34" t="n">
        <x:v>12</x:v>
      </x:c>
      <x:c r="H31" s="34" t="str">
        <x:v>Berpikir &amp; Eksplorasi</x:v>
      </x:c>
      <x:c r="I31" s="34" t="str">
        <x:v>Sosial &amp; Emosi</x:v>
      </x:c>
      <x:c r="J31" s="34" t="str">
        <x:v>problem-solving</x:v>
      </x:c>
      <x:c r="K31" s="34" t="n">
        <x:v>6</x:v>
      </x:c>
      <x:c r="L31" s="34" t="str">
        <x:v>Mainan besar sederhana: tekan, putar besar, atau ketuk</x:v>
      </x:c>
      <x:c r="M31" s="34" t="str">
        <x:v>Memberi kesempatan mengamati tindakan caregiver, mencoba meniru, dan memperhatikan hasil yang terjadi.</x:v>
      </x:c>
      <x:c r="N31" s="34" t="str">
        <x:v>Aktivitas menggabungkan imitasi, problem-solving sederhana, dan sebab-akibat tanpa instruksi kompleks.</x:v>
      </x:c>
      <x:c r="O31" s="34" t="str">
        <x:v>1) Pilih satu aksi sederhana pada mainan. 2) Tunjukkan sekali. 3) Berikan mainan dan tunggu. 4) Respons pada upaya apa pun yang aman.</x:v>
      </x:c>
      <x:c r="P31" s="34" t="str">
        <x:v>Mencoba aksi serupa; mengulang; memperhatikan hasil; melihat caregiver.</x:v>
      </x:c>
      <x:c r="Q31" s="34" t="str">
        <x:v>Caregiver melakukan, anak hanya mengamati/menyentuh.</x:v>
      </x:c>
      <x:c r="R31" s="34" t="str">
        <x:v>Tambahkan satu variasi aksi di sesi lain.</x:v>
      </x:c>
      <x:c r="S31" s="34" t="str">
        <x:v>Mainan harus utuh; baterai tertutup sekrup; tidak ada bagian kecil, magnet lepas, atau tali panjang.</x:v>
      </x:c>
      <x:c r="T31" s="34" t="str">
        <x:v>Hentikan bila alat rusak atau bagian menjadi longgar.</x:v>
      </x:c>
      <x:c r="U31" s="34" t="str">
        <x:v>Prematur: pilih mainan rangsang rendah.</x:v>
      </x:c>
      <x:c r="V31" s="34" t="str">
        <x:v>SRC_UNICEF_CCD; SRC_AAP_DEV_12M</x:v>
      </x:c>
      <x:c r="W31" s="34" t="str">
        <x:v>Responsive imitation dan simple cause-effect exploration.</x:v>
      </x:c>
      <x:c r="X31" s="34" t="str">
        <x:v>source_checked</x:v>
      </x:c>
      <x:c r="Y31" s="34" t="str"/>
      <x:c r="Z31" s="34" t="str"/>
      <x:c r="AA31" s="34" t="str">
        <x:v>v0.4</x:v>
      </x:c>
    </x:row>
  </x:sheetData>
  <x:dataValidations count="1">
    <x:dataValidation type="list" sqref="X2:X31">
      <x:formula1>"draft,source_checked,clinical_review,approved"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3040344f1084307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4" hidden="0" customWidth="1"/>
    <x:col min="3" max="3" width="14" hidden="0" customWidth="1"/>
    <x:col min="4" max="4" width="14" hidden="0" customWidth="1"/>
    <x:col min="5" max="5" width="72" hidden="0" customWidth="1"/>
    <x:col min="6" max="6" width="34" hidden="0" customWidth="1"/>
    <x:col min="7" max="7" width="82" hidden="0" customWidth="1"/>
    <x:col min="8" max="8" width="66" hidden="0" customWidth="1"/>
    <x:col min="9" max="9" width="52" hidden="0" customWidth="1"/>
    <x:col min="10" max="10" width="72" hidden="0" customWidth="1"/>
    <x:col min="11" max="11" width="20" hidden="0" customWidth="1"/>
  </x:cols>
  <x:sheetData>
    <x:row r="1">
      <x:c r="A1" s="52" t="str">
        <x:v>rule_id</x:v>
      </x:c>
      <x:c r="B1" s="52" t="str">
        <x:v>rule_name</x:v>
      </x:c>
      <x:c r="C1" s="52" t="str">
        <x:v>min_age_days</x:v>
      </x:c>
      <x:c r="D1" s="52" t="str">
        <x:v>max_age_days</x:v>
      </x:c>
      <x:c r="E1" s="52" t="str">
        <x:v>trigger</x:v>
      </x:c>
      <x:c r="F1" s="52" t="str">
        <x:v>user_status</x:v>
      </x:c>
      <x:c r="G1" s="52" t="str">
        <x:v>user_message</x:v>
      </x:c>
      <x:c r="H1" s="52" t="str">
        <x:v>recommended_action</x:v>
      </x:c>
      <x:c r="I1" s="52" t="str">
        <x:v>source_refs</x:v>
      </x:c>
      <x:c r="J1" s="52" t="str">
        <x:v>guardrail</x:v>
      </x:c>
      <x:c r="K1" s="52" t="str">
        <x:v>review_status</x:v>
      </x:c>
    </x:row>
    <x:row r="2">
      <x:c r="A2" s="34" t="str">
        <x:v>RISK001</x:v>
      </x:c>
      <x:c r="B2" s="34" t="str">
        <x:v>Kehilangan kemampuan yang sebelumnya pernah dicatat</x:v>
      </x:c>
      <x:c r="C2" s="34" t="n">
        <x:v>0</x:v>
      </x:c>
      <x:c r="D2" s="34" t="n">
        <x:v>390</x:v>
      </x:c>
      <x:c r="E2" s="34" t="str">
        <x:v>User secara eksplisit memilih bahwa kemampuan yang dulu terlihat kini tidak lagi terlihat.</x:v>
      </x:c>
      <x:c r="F2" s="34" t="str">
        <x:v>Baik dibahas dengan tenaga kesehatan</x:v>
      </x:c>
      <x:c r="G2" s="34" t="str">
        <x:v>Catatan kehilangan kemampuan adalah informasi penting untuk dibahas dengan tenaga kesehatan. Fitur ini bukan diagnosis.</x:v>
      </x:c>
      <x:c r="H2" s="34" t="str">
        <x:v>Buat ringkasan; sarankan pembahasan dengan tenaga kesehatan tanpa menunggu penilaian aplikasi berikutnya.</x:v>
      </x:c>
      <x:c r="I2" s="34" t="str">
        <x:v>SRC_CDC_2M_2026; SRC_CDC_1Y_2026; SRC_AAP_SURVEILLANCE</x:v>
      </x:c>
      <x:c r="J2" s="34" t="str">
        <x:v>Tidak menghitung probabilitas penyakit atau diagnosis.</x:v>
      </x:c>
      <x:c r="K2" s="34" t="str">
        <x:v>source_checked</x:v>
      </x:c>
    </x:row>
    <x:row r="3">
      <x:c r="A3" s="34" t="str">
        <x:v>RISK002</x:v>
      </x:c>
      <x:c r="B3" s="34" t="str">
        <x:v>Kekhawatiran orang tua tercatat</x:v>
      </x:c>
      <x:c r="C3" s="34" t="n">
        <x:v>0</x:v>
      </x:c>
      <x:c r="D3" s="34" t="n">
        <x:v>390</x:v>
      </x:c>
      <x:c r="E3" s="34" t="str">
        <x:v>User membuat concern pada domain perkembangan mana pun.</x:v>
      </x:c>
      <x:c r="F3" s="34" t="str">
        <x:v>Perlu diperhatikan</x:v>
      </x:c>
      <x:c r="G3" s="34" t="str">
        <x:v>Kekhawatiran Ayah/Bunda penting untuk dicatat. Simpan detailnya dan pertimbangkan membahasnya saat konsultasi.</x:v>
      </x:c>
      <x:c r="H3" s="34" t="str">
        <x:v>Simpan concern; tawarkan ringkasan; jangan memberi diagnosis.</x:v>
      </x:c>
      <x:c r="I3" s="34" t="str">
        <x:v>SRC_AAP_SURVEILLANCE</x:v>
      </x:c>
      <x:c r="J3" s="34" t="str">
        <x:v>Parental concern adalah bagian developmental surveillance, bukan hasil screening.</x:v>
      </x:c>
      <x:c r="K3" s="34" t="str">
        <x:v>source_checked</x:v>
      </x:c>
    </x:row>
    <x:row r="4">
      <x:c r="A4" s="34" t="str">
        <x:v>RISK003</x:v>
      </x:c>
      <x:c r="B4" s="34" t="str">
        <x:v>Kekhawatiran berulang pada domain sama</x:v>
      </x:c>
      <x:c r="C4" s="34" t="n">
        <x:v>0</x:v>
      </x:c>
      <x:c r="D4" s="34" t="n">
        <x:v>390</x:v>
      </x:c>
      <x:c r="E4" s="34" t="str">
        <x:v>≥2 concern entries pada domain yang sama dalam 14 hari.</x:v>
      </x:c>
      <x:c r="F4" s="34" t="str">
        <x:v>Baik dibahas dengan tenaga kesehatan</x:v>
      </x:c>
      <x:c r="G4" s="34" t="str">
        <x:v>Kekhawatiran yang sama muncul beberapa kali dalam catatan. Membawanya ke tenaga kesehatan dapat membantu pembahasan lebih terarah.</x:v>
      </x:c>
      <x:c r="H4" s="34" t="str">
        <x:v>Buat ringkasan kronologis otomatis.</x:v>
      </x:c>
      <x:c r="I4" s="34" t="str">
        <x:v>SRC_AAP_SURVEILLANCE</x:v>
      </x:c>
      <x:c r="J4" s="34" t="str">
        <x:v>Threshold 14 hari adalah rule operasional produk dan wajib clinical review sebelum production.</x:v>
      </x:c>
      <x:c r="K4" s="34" t="str">
        <x:v>clinical_review</x:v>
      </x:c>
    </x:row>
    <x:row r="5">
      <x:c r="A5" s="34" t="str">
        <x:v>RISK004</x:v>
      </x:c>
      <x:c r="B5" s="34" t="str">
        <x:v>Observasi belum terlihat berulang lintas domain</x:v>
      </x:c>
      <x:c r="C5" s="34" t="n">
        <x:v>0</x:v>
      </x:c>
      <x:c r="D5" s="34" t="n">
        <x:v>390</x:v>
      </x:c>
      <x:c r="E5" s="34" t="str">
        <x:v>Beberapa observation items relevan usia tercatat belum terlihat pada beberapa tanggal dan lintas domain.</x:v>
      </x:c>
      <x:c r="F5" s="34" t="str">
        <x:v>Perlu diperhatikan</x:v>
      </x:c>
      <x:c r="G5" s="34" t="str">
        <x:v>Beberapa hal yang sedang Ayah Bunda amati belum tercatat terlihat pada beberapa kesempatan. Ini bukan hasil screening; bila ada kekhawatiran, diskusikan dengan tenaga kesehatan.</x:v>
      </x:c>
      <x:c r="H5" s="34" t="str">
        <x:v>Tampilkan konteks dan ringkasan; tidak memberi label keterlambatan.</x:v>
      </x:c>
      <x:c r="I5" s="34" t="str">
        <x:v>SRC_AAP_SURVEILLANCE; SRC_CDC_1Y_2026</x:v>
      </x:c>
      <x:c r="J5" s="34" t="str">
        <x:v>Threshold numerik dan age checkpoint tidak boleh diaktifkan sebelum clinical review.</x:v>
      </x:c>
      <x:c r="K5" s="34" t="str">
        <x:v>clinical_review</x:v>
      </x:c>
    </x:row>
    <x:row r="6">
      <x:c r="A6" s="34" t="str">
        <x:v>RISK005</x:v>
      </x:c>
      <x:c r="B6" s="34" t="str">
        <x:v>Data belum cukup</x:v>
      </x:c>
      <x:c r="C6" s="34" t="n">
        <x:v>0</x:v>
      </x:c>
      <x:c r="D6" s="34" t="n">
        <x:v>390</x:v>
      </x:c>
      <x:c r="E6" s="34" t="str">
        <x:v>Riwayat pengguna belum cukup untuk rule lain.</x:v>
      </x:c>
      <x:c r="F6" s="34" t="str">
        <x:v>Belum cukup data</x:v>
      </x:c>
      <x:c r="G6" s="34" t="str">
        <x:v>Belum cukup catatan untuk membuat Sinyal Perhatian.</x:v>
      </x:c>
      <x:c r="H6" s="34" t="str">
        <x:v>Ajak lanjut observasi tanpa memberi label 'risiko rendah'.</x:v>
      </x:c>
      <x:c r="I6" s="34" t="str">
        <x:v>SRC_AAP_SURVEILLANCE</x:v>
      </x:c>
      <x:c r="J6" s="34" t="str">
        <x:v>Mencegah reassurance palsu.</x:v>
      </x:c>
      <x:c r="K6" s="34" t="str">
        <x:v>source_checked</x:v>
      </x:c>
    </x:row>
  </x:sheetData>
  <x:dataValidations count="1">
    <x:dataValidation type="list" sqref="K2:K6">
      <x:formula1>"draft,source_checked,clinical_review,approved"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29e6610c8404608"/>
  </x:tableParts>
</x:worksheet>
</file>